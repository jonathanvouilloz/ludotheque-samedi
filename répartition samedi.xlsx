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\\Fase.local\Portail\Ludotheque\LUK\GESTION LUDOTHEQUE\EQUIPE\HEURES\PLANNINGS\TOURNUS EQUIPE\années précédentes\"/>
    </mc:Choice>
  </mc:AlternateContent>
  <xr:revisionPtr revIDLastSave="0" documentId="13_ncr:1_{99E2E8DF-C7AD-4C1E-8E11-ADFF24665BC3}" xr6:coauthVersionLast="36" xr6:coauthVersionMax="36" xr10:uidLastSave="{00000000-0000-0000-0000-000000000000}"/>
  <bookViews>
    <workbookView xWindow="0" yWindow="0" windowWidth="28800" windowHeight="12330" xr2:uid="{00000000-000D-0000-FFFF-FFFF00000000}"/>
  </bookViews>
  <sheets>
    <sheet name="Samedi 25-26" sheetId="12" r:id="rId1"/>
    <sheet name="Samedi 24-25" sheetId="11" r:id="rId2"/>
    <sheet name="test" sheetId="10" r:id="rId3"/>
    <sheet name="Samedi 23-24" sheetId="9" r:id="rId4"/>
    <sheet name="Samedi 22-23" sheetId="8" r:id="rId5"/>
    <sheet name="Samedi 21-22" sheetId="7" r:id="rId6"/>
    <sheet name="Samedi 20-21" sheetId="1" r:id="rId7"/>
    <sheet name="Samedi 19-20" sheetId="2" r:id="rId8"/>
    <sheet name="Samedi 18-19" sheetId="3" r:id="rId9"/>
    <sheet name="Samedi 17-18" sheetId="4" r:id="rId10"/>
    <sheet name="Samedi 16-17" sheetId="5" r:id="rId11"/>
    <sheet name="Samedi 12" sheetId="6" r:id="rId12"/>
  </sheets>
  <definedNames>
    <definedName name="_xlnm.Print_Area" localSheetId="5">'Samedi 21-22'!$A$1:$E$45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2" i="12" l="1"/>
  <c r="R12" i="12" s="1"/>
  <c r="Q11" i="12"/>
  <c r="Q10" i="12"/>
  <c r="P9" i="12"/>
  <c r="Q8" i="12"/>
  <c r="P8" i="12"/>
  <c r="R11" i="12" l="1"/>
  <c r="R10" i="12"/>
  <c r="R9" i="12"/>
  <c r="R8" i="12"/>
  <c r="R13" i="12"/>
  <c r="R27" i="11"/>
  <c r="Q25" i="11"/>
  <c r="Q21" i="11"/>
  <c r="P21" i="11"/>
  <c r="Q20" i="11"/>
  <c r="P20" i="11"/>
  <c r="P25" i="11"/>
  <c r="Q24" i="11"/>
  <c r="P26" i="11" l="1"/>
  <c r="P22" i="11"/>
  <c r="P23" i="11"/>
  <c r="R24" i="11"/>
  <c r="R21" i="11"/>
  <c r="R20" i="11"/>
  <c r="R25" i="11"/>
  <c r="Q26" i="11"/>
  <c r="Q22" i="11"/>
  <c r="Q23" i="11"/>
  <c r="R26" i="11" l="1"/>
  <c r="R23" i="11"/>
  <c r="R22" i="11"/>
  <c r="I14" i="10"/>
  <c r="I14" i="9" l="1"/>
</calcChain>
</file>

<file path=xl/sharedStrings.xml><?xml version="1.0" encoding="utf-8"?>
<sst xmlns="http://schemas.openxmlformats.org/spreadsheetml/2006/main" count="1520" uniqueCount="169">
  <si>
    <t>Ana</t>
  </si>
  <si>
    <t>Cristel</t>
  </si>
  <si>
    <t>Franziska</t>
  </si>
  <si>
    <t>Mélanie</t>
  </si>
  <si>
    <t>Sadjia</t>
  </si>
  <si>
    <t>Zaineb</t>
  </si>
  <si>
    <t>Pierre</t>
  </si>
  <si>
    <t>William</t>
  </si>
  <si>
    <t>Chloé</t>
  </si>
  <si>
    <t>Mélanie Pierre</t>
  </si>
  <si>
    <t xml:space="preserve"> Mélanie Pierre</t>
  </si>
  <si>
    <t>Date</t>
  </si>
  <si>
    <t>Ludothécaire</t>
  </si>
  <si>
    <t>Pierre (Ana)</t>
  </si>
  <si>
    <t>10% supplémentaire hors décompte annuel</t>
  </si>
  <si>
    <t xml:space="preserve">fête des Pâquis </t>
  </si>
  <si>
    <t>Ana (j. 11h15)</t>
  </si>
  <si>
    <t>déplacement veille de vacances</t>
  </si>
  <si>
    <t>Sadjia (malade)</t>
  </si>
  <si>
    <t>Sadjia   Cristel</t>
  </si>
  <si>
    <t>Zaineb   Cendy</t>
  </si>
  <si>
    <t>João</t>
  </si>
  <si>
    <t>vacances</t>
  </si>
  <si>
    <t>Cendy</t>
  </si>
  <si>
    <t>Fermé</t>
  </si>
  <si>
    <t>Timothée</t>
  </si>
  <si>
    <t>Athilio</t>
  </si>
  <si>
    <t>13h30-16h30 Mélanie Zaineb</t>
  </si>
  <si>
    <t>16h-19h Cendy     Pierre</t>
  </si>
  <si>
    <t>Ludobus chateaubruyand</t>
  </si>
  <si>
    <t>Joao</t>
  </si>
  <si>
    <t>zaineb</t>
  </si>
  <si>
    <t>Mélanie Sadjia</t>
  </si>
  <si>
    <t>Franziska Zaineb</t>
  </si>
  <si>
    <t>Portes ouvertes Sécheron 14h-18h</t>
  </si>
  <si>
    <t>Zaineb Pierre</t>
  </si>
  <si>
    <t>Ana Cristel</t>
  </si>
  <si>
    <t>fête Pâquis 13h15-18h30</t>
  </si>
  <si>
    <t>Samedi</t>
  </si>
  <si>
    <t>Tournus</t>
  </si>
  <si>
    <t>matinées</t>
  </si>
  <si>
    <t>remarques</t>
  </si>
  <si>
    <t>Joséphine</t>
  </si>
  <si>
    <t xml:space="preserve"> échange avec Cristel soirée jeux</t>
  </si>
  <si>
    <t>fête PAQUIS avec Zaineb et Sadjia de 14h à 18h</t>
  </si>
  <si>
    <t>x</t>
  </si>
  <si>
    <t>Elodie</t>
  </si>
  <si>
    <t>Cannes</t>
  </si>
  <si>
    <t xml:space="preserve"> </t>
  </si>
  <si>
    <t>Constance</t>
  </si>
  <si>
    <t>on fait le pont</t>
  </si>
  <si>
    <t>Vacances</t>
  </si>
  <si>
    <t>date</t>
  </si>
  <si>
    <t>paquis</t>
  </si>
  <si>
    <t>Sécheron</t>
  </si>
  <si>
    <t>David</t>
  </si>
  <si>
    <t>Florence</t>
  </si>
  <si>
    <t>p</t>
  </si>
  <si>
    <t>Ludobus</t>
  </si>
  <si>
    <t xml:space="preserve">Joséphine </t>
  </si>
  <si>
    <t>Sadja</t>
  </si>
  <si>
    <t>Réartition des samedis</t>
  </si>
  <si>
    <t>Répartition linéaire</t>
  </si>
  <si>
    <t>Paquis</t>
  </si>
  <si>
    <t>samedi, septembre 01, 2012</t>
  </si>
  <si>
    <t>/</t>
  </si>
  <si>
    <t>samedi, septembre 08, 2012</t>
  </si>
  <si>
    <t xml:space="preserve">Florence </t>
  </si>
  <si>
    <t>samedi, septembre 15, 2012</t>
  </si>
  <si>
    <t xml:space="preserve">Franziska </t>
  </si>
  <si>
    <t>samedi, septembre 22, 2012</t>
  </si>
  <si>
    <t>samedi, septembre 29, 2012</t>
  </si>
  <si>
    <t>Ludobus Cropettes</t>
  </si>
  <si>
    <t>samedi, octobre 06, 2012</t>
  </si>
  <si>
    <t>samedi, octobre 13, 2012</t>
  </si>
  <si>
    <t>samedi, octobre 20, 2012</t>
  </si>
  <si>
    <t>samedi, octobre 27, 2012</t>
  </si>
  <si>
    <t>vacances d'automne</t>
  </si>
  <si>
    <t>samedi, novembre 03, 2012</t>
  </si>
  <si>
    <t>samedi, novembre 10, 2012</t>
  </si>
  <si>
    <t>samedi, novembre 17, 2012</t>
  </si>
  <si>
    <t>samedi, novembre 24, 2012</t>
  </si>
  <si>
    <t>samedi, décembre 01, 2012</t>
  </si>
  <si>
    <t>samedi, décembre 08, 2012</t>
  </si>
  <si>
    <t>samedi, décembre 15, 2012</t>
  </si>
  <si>
    <t>samedi, décembre 22, 2012</t>
  </si>
  <si>
    <t>Sadjia+Zaineb</t>
  </si>
  <si>
    <t>Pierre+Cristel</t>
  </si>
  <si>
    <t>Fatou</t>
  </si>
  <si>
    <t>c</t>
  </si>
  <si>
    <t>al</t>
  </si>
  <si>
    <t>an</t>
  </si>
  <si>
    <t>f</t>
  </si>
  <si>
    <t>s</t>
  </si>
  <si>
    <t>z</t>
  </si>
  <si>
    <t>Alessia</t>
  </si>
  <si>
    <t>Ngamanya</t>
  </si>
  <si>
    <t>34 samedis de travail</t>
  </si>
  <si>
    <t>35 samedi travaillés</t>
  </si>
  <si>
    <t>Gabriel</t>
  </si>
  <si>
    <r>
      <rPr>
        <b/>
        <sz val="11"/>
        <color theme="1"/>
        <rFont val="Calibri"/>
        <family val="2"/>
        <scheme val="minor"/>
      </rPr>
      <t>Total</t>
    </r>
    <r>
      <rPr>
        <sz val="11"/>
        <color theme="1"/>
        <rFont val="Calibri"/>
        <family val="2"/>
        <scheme val="minor"/>
      </rPr>
      <t>: 35 Samedis de travail pour Gabriel</t>
    </r>
  </si>
  <si>
    <t>Jessica</t>
  </si>
  <si>
    <t xml:space="preserve">     Sécheron: 9h00 - 10h30</t>
  </si>
  <si>
    <t xml:space="preserve">     Pâquis: 9h00 - 12h00</t>
  </si>
  <si>
    <t>PA Fermé car rue est à vous</t>
  </si>
  <si>
    <t>PORTES OUVERTES DES LUDOS</t>
  </si>
  <si>
    <t>RECUPERATION HEURES SAMEDIS :</t>
  </si>
  <si>
    <t xml:space="preserve">Pierre: </t>
  </si>
  <si>
    <t>Gabriel:</t>
  </si>
  <si>
    <t xml:space="preserve">Sadjia: </t>
  </si>
  <si>
    <t xml:space="preserve">Franziska: </t>
  </si>
  <si>
    <t xml:space="preserve">Zaineb: </t>
  </si>
  <si>
    <t xml:space="preserve">Alessia: </t>
  </si>
  <si>
    <t xml:space="preserve">Jessica: </t>
  </si>
  <si>
    <t>Total des samedis</t>
  </si>
  <si>
    <t>32 samedis X 2 = 64</t>
  </si>
  <si>
    <t>64 - 1 (samedi rue à vs) = 63</t>
  </si>
  <si>
    <t>X</t>
  </si>
  <si>
    <t xml:space="preserve">   PA Fermé car rue est à vous</t>
  </si>
  <si>
    <r>
      <rPr>
        <b/>
        <sz val="11"/>
        <color theme="1"/>
        <rFont val="Calibri"/>
        <family val="2"/>
        <scheme val="minor"/>
      </rPr>
      <t>Pierre</t>
    </r>
    <r>
      <rPr>
        <sz val="11"/>
        <color theme="1"/>
        <rFont val="Calibri"/>
        <family val="2"/>
        <scheme val="minor"/>
      </rPr>
      <t xml:space="preserve">: 13 samedis= 6h30 </t>
    </r>
    <r>
      <rPr>
        <sz val="11"/>
        <color rgb="FFFF0000"/>
        <rFont val="Calibri"/>
        <family val="2"/>
        <scheme val="minor"/>
      </rPr>
      <t>(-4h le 22.04.23)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rgb="FF00B050"/>
        <rFont val="Calibri"/>
        <family val="2"/>
        <scheme val="minor"/>
      </rPr>
      <t>reste 2h30</t>
    </r>
  </si>
  <si>
    <r>
      <rPr>
        <b/>
        <sz val="11"/>
        <color theme="1"/>
        <rFont val="Calibri"/>
        <family val="2"/>
        <scheme val="minor"/>
      </rPr>
      <t>Sadjia</t>
    </r>
    <r>
      <rPr>
        <sz val="11"/>
        <color theme="1"/>
        <rFont val="Calibri"/>
        <family val="2"/>
        <scheme val="minor"/>
      </rPr>
      <t xml:space="preserve">: 10 samedis = </t>
    </r>
    <r>
      <rPr>
        <b/>
        <sz val="11"/>
        <color rgb="FF00B050"/>
        <rFont val="Calibri"/>
        <family val="2"/>
        <scheme val="minor"/>
      </rPr>
      <t>5h</t>
    </r>
  </si>
  <si>
    <r>
      <rPr>
        <b/>
        <sz val="11"/>
        <color theme="1"/>
        <rFont val="Calibri"/>
        <family val="2"/>
        <scheme val="minor"/>
      </rPr>
      <t>Franziska:</t>
    </r>
    <r>
      <rPr>
        <sz val="11"/>
        <color theme="1"/>
        <rFont val="Calibri"/>
        <family val="2"/>
        <scheme val="minor"/>
      </rPr>
      <t xml:space="preserve"> 10 samedi =</t>
    </r>
    <r>
      <rPr>
        <b/>
        <sz val="11"/>
        <color rgb="FF00B050"/>
        <rFont val="Calibri"/>
        <family val="2"/>
        <scheme val="minor"/>
      </rPr>
      <t xml:space="preserve"> 5h</t>
    </r>
  </si>
  <si>
    <r>
      <rPr>
        <b/>
        <sz val="11"/>
        <color rgb="FFFF0000"/>
        <rFont val="Calibri"/>
        <family val="2"/>
        <scheme val="minor"/>
      </rPr>
      <t>Zaineb</t>
    </r>
    <r>
      <rPr>
        <sz val="11"/>
        <color rgb="FFFF0000"/>
        <rFont val="Calibri"/>
        <family val="2"/>
        <scheme val="minor"/>
      </rPr>
      <t>: 10 samedi = 5h récup le 04.05.23</t>
    </r>
  </si>
  <si>
    <r>
      <rPr>
        <b/>
        <sz val="11"/>
        <color rgb="FFFF0000"/>
        <rFont val="Calibri"/>
        <family val="2"/>
        <scheme val="minor"/>
      </rPr>
      <t>Alessia</t>
    </r>
    <r>
      <rPr>
        <sz val="11"/>
        <color rgb="FFFF0000"/>
        <rFont val="Calibri"/>
        <family val="2"/>
        <scheme val="minor"/>
      </rPr>
      <t>: 7 samedis= 3h30 récup le 22.04.23</t>
    </r>
  </si>
  <si>
    <t>APRES DEPARD DE CRISTEL ET NGAMANIA</t>
  </si>
  <si>
    <t>Remplacement</t>
  </si>
  <si>
    <t>y</t>
  </si>
  <si>
    <t>x y</t>
  </si>
  <si>
    <t>Tabatha</t>
  </si>
  <si>
    <t>Corentin</t>
  </si>
  <si>
    <t>Eduardo</t>
  </si>
  <si>
    <t>Eduardo:</t>
  </si>
  <si>
    <t>Franziska:</t>
  </si>
  <si>
    <t>Sadjia:</t>
  </si>
  <si>
    <t>Zaineb:</t>
  </si>
  <si>
    <t xml:space="preserve">     Samedi après-midi PROJET</t>
  </si>
  <si>
    <t>De 13h30  à 18h30</t>
  </si>
  <si>
    <t>(De 13h15 à 18h45)</t>
  </si>
  <si>
    <t>Y</t>
  </si>
  <si>
    <t>Accueil des nouveaux habitants</t>
  </si>
  <si>
    <t>TOTAL</t>
  </si>
  <si>
    <t>Gabriel et Alessia</t>
  </si>
  <si>
    <t>Sara Grosso</t>
  </si>
  <si>
    <t>samedi avec majoration =4h04</t>
  </si>
  <si>
    <t>RÉCUPÉRATION SAMEDI EDUARDO:</t>
  </si>
  <si>
    <t>Mardi toute la journée (5h25):</t>
  </si>
  <si>
    <t>Mercredi toute la journée (7h25):</t>
  </si>
  <si>
    <t>Mercredi matin (2h50):</t>
  </si>
  <si>
    <t>Total: 24h75</t>
  </si>
  <si>
    <t>quand?</t>
  </si>
  <si>
    <t>??</t>
  </si>
  <si>
    <t>Récup éduardo= 6X 4.04= 24h24</t>
  </si>
  <si>
    <t>Enlever un samedi à Zaineb pour mettre Sadjia= équilibre sur les heures de projet vert'ige pas faites.</t>
  </si>
  <si>
    <t>Remplaçant</t>
  </si>
  <si>
    <t>Taux dispo</t>
  </si>
  <si>
    <t>=</t>
  </si>
  <si>
    <t>Congé paternité Gabriel</t>
  </si>
  <si>
    <t>Maria PAI</t>
  </si>
  <si>
    <t>Zaïa</t>
  </si>
  <si>
    <t>Jonathan</t>
  </si>
  <si>
    <t>Fermeture Orphée</t>
  </si>
  <si>
    <t>FERMETURE ÉTÉ</t>
  </si>
  <si>
    <t>31 SAMEDI 2025-2026</t>
  </si>
  <si>
    <t>RÉOUVERTURE</t>
  </si>
  <si>
    <r>
      <rPr>
        <sz val="20"/>
        <color rgb="FFC00000"/>
        <rFont val="Calibri"/>
        <family val="2"/>
        <scheme val="minor"/>
      </rPr>
      <t xml:space="preserve">IMPOSSIBILITÉ: </t>
    </r>
    <r>
      <rPr>
        <b/>
        <sz val="20"/>
        <color rgb="FFC00000"/>
        <rFont val="Calibri"/>
        <family val="2"/>
        <scheme val="minor"/>
      </rPr>
      <t>JONATHAN</t>
    </r>
    <r>
      <rPr>
        <sz val="20"/>
        <color rgb="FFC00000"/>
        <rFont val="Calibri"/>
        <family val="2"/>
        <scheme val="minor"/>
      </rPr>
      <t xml:space="preserve">: 20.09/ 27.09/ 04.10/ 08.11     </t>
    </r>
    <r>
      <rPr>
        <b/>
        <sz val="20"/>
        <color rgb="FFC00000"/>
        <rFont val="Calibri"/>
        <family val="2"/>
        <scheme val="minor"/>
      </rPr>
      <t>SADJIA</t>
    </r>
    <r>
      <rPr>
        <sz val="20"/>
        <color rgb="FFC00000"/>
        <rFont val="Calibri"/>
        <family val="2"/>
        <scheme val="minor"/>
      </rPr>
      <t>: 30.08</t>
    </r>
  </si>
  <si>
    <t>NB de samedis sans portes ouverte</t>
  </si>
  <si>
    <t>11.10.25  ballades des habitants</t>
  </si>
  <si>
    <t>samedi avec majoration =4h06</t>
  </si>
  <si>
    <t>Après discution avec le SDEN les repsonsables doivent faire moins de samedis. Pour 2026/2027 11 samedi par membre et 7 pour le responsable (pour une équipe de 5 ludothécaire 1 responsable (le 6 em Gabriel pas compté car il fait tous les samedis)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</si>
</sst>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0C]dddd&quot;, &quot;mmmm&quot; &quot;dd&quot;, &quot;yyyy"/>
  </numFmts>
  <fonts count="39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3"/>
      <name val="Calibri"/>
      <family val="2"/>
      <scheme val="minor"/>
    </font>
    <font>
      <sz val="11"/>
      <name val="Calibri"/>
      <family val="2"/>
      <scheme val="minor"/>
    </font>
    <font>
      <sz val="14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color rgb="FF92D050"/>
      <name val="Calibri"/>
      <family val="2"/>
      <scheme val="minor"/>
    </font>
    <font>
      <sz val="11"/>
      <color rgb="FFFF0000"/>
      <name val="Calibri"/>
      <family val="2"/>
      <scheme val="minor"/>
    </font>
    <font>
      <sz val="20"/>
      <color rgb="FF00B050"/>
      <name val="Calibri"/>
      <family val="2"/>
      <scheme val="minor"/>
    </font>
    <font>
      <sz val="20"/>
      <color rgb="FF0070C0"/>
      <name val="Calibri"/>
      <family val="2"/>
      <scheme val="minor"/>
    </font>
    <font>
      <b/>
      <u val="double"/>
      <sz val="11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4"/>
      <color rgb="FF0070C0"/>
      <name val="Calibri"/>
      <family val="2"/>
      <scheme val="minor"/>
    </font>
    <font>
      <sz val="16"/>
      <color rgb="FF00B050"/>
      <name val="Calibri"/>
      <family val="2"/>
      <scheme val="minor"/>
    </font>
    <font>
      <b/>
      <u val="double"/>
      <sz val="11"/>
      <color theme="1"/>
      <name val="Calibri"/>
      <family val="2"/>
      <scheme val="minor"/>
    </font>
    <font>
      <u val="double"/>
      <sz val="14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trike/>
      <sz val="14"/>
      <color theme="1"/>
      <name val="Calibri"/>
      <family val="2"/>
      <scheme val="minor"/>
    </font>
    <font>
      <b/>
      <strike/>
      <sz val="14"/>
      <color rgb="FFFF0000"/>
      <name val="Calibri"/>
      <family val="2"/>
      <scheme val="minor"/>
    </font>
    <font>
      <strike/>
      <sz val="14"/>
      <name val="Calibri"/>
      <family val="2"/>
      <scheme val="minor"/>
    </font>
    <font>
      <strike/>
      <sz val="14"/>
      <color rgb="FFFF0000"/>
      <name val="Calibri"/>
      <family val="2"/>
      <scheme val="minor"/>
    </font>
    <font>
      <strike/>
      <sz val="12"/>
      <color rgb="FFFF0000"/>
      <name val="Calibri"/>
      <family val="2"/>
      <scheme val="minor"/>
    </font>
    <font>
      <strike/>
      <sz val="14"/>
      <color rgb="FF92D05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sz val="20"/>
      <color rgb="FFC00000"/>
      <name val="Calibri"/>
      <family val="2"/>
      <scheme val="minor"/>
    </font>
    <font>
      <b/>
      <sz val="20"/>
      <color rgb="FFC0000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EDD5FF"/>
        <bgColor indexed="64"/>
      </patternFill>
    </fill>
    <fill>
      <patternFill patternType="solid">
        <fgColor rgb="FFD7A4FE"/>
        <bgColor indexed="64"/>
      </patternFill>
    </fill>
    <fill>
      <patternFill patternType="solid">
        <fgColor rgb="FF0066FF"/>
        <bgColor indexed="64"/>
      </patternFill>
    </fill>
  </fills>
  <borders count="6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theme="2" tint="-0.249977111117893"/>
      </bottom>
      <diagonal/>
    </border>
    <border>
      <left/>
      <right/>
      <top/>
      <bottom style="thin">
        <color theme="2" tint="-9.9978637043366805E-2"/>
      </bottom>
      <diagonal/>
    </border>
    <border>
      <left style="thin">
        <color theme="2" tint="-0.249977111117893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0.249977111117893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 style="thin">
        <color theme="2" tint="-9.9978637043366805E-2"/>
      </top>
      <bottom/>
      <diagonal/>
    </border>
    <border>
      <left style="thin">
        <color theme="2" tint="-9.9978637043366805E-2"/>
      </left>
      <right/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0" tint="-0.14999847407452621"/>
      </left>
      <right style="medium">
        <color indexed="64"/>
      </right>
      <top style="medium">
        <color indexed="64"/>
      </top>
      <bottom/>
      <diagonal/>
    </border>
    <border>
      <left style="thin">
        <color theme="0" tint="-0.14999847407452621"/>
      </left>
      <right style="medium">
        <color indexed="64"/>
      </right>
      <top/>
      <bottom/>
      <diagonal/>
    </border>
    <border>
      <left/>
      <right style="thin">
        <color theme="2" tint="-9.9948118533890809E-2"/>
      </right>
      <top style="medium">
        <color indexed="64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theme="2" tint="-9.9948118533890809E-2"/>
      </right>
      <top style="medium">
        <color indexed="64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theme="0" tint="-0.14999847407452621"/>
      </right>
      <top style="medium">
        <color indexed="64"/>
      </top>
      <bottom style="thin">
        <color theme="2" tint="-9.9948118533890809E-2"/>
      </bottom>
      <diagonal/>
    </border>
    <border>
      <left/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theme="0" tint="-0.14999847407452621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0.249977111117893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0" tint="-0.14999847407452621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/>
      <right style="thin">
        <color theme="2" tint="-9.9948118533890809E-2"/>
      </right>
      <top style="thin">
        <color theme="2" tint="-9.9948118533890809E-2"/>
      </top>
      <bottom style="thin">
        <color indexed="64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n">
        <color indexed="64"/>
      </bottom>
      <diagonal/>
    </border>
    <border>
      <left style="thin">
        <color theme="2" tint="-9.9948118533890809E-2"/>
      </left>
      <right style="thin">
        <color theme="0" tint="-0.14999847407452621"/>
      </right>
      <top style="thin">
        <color theme="2" tint="-9.9948118533890809E-2"/>
      </top>
      <bottom style="thin">
        <color indexed="64"/>
      </bottom>
      <diagonal/>
    </border>
    <border>
      <left style="thin">
        <color theme="2" tint="-9.9948118533890809E-2"/>
      </left>
      <right/>
      <top style="medium">
        <color indexed="64"/>
      </top>
      <bottom style="thin">
        <color theme="2" tint="-9.9948118533890809E-2"/>
      </bottom>
      <diagonal/>
    </border>
    <border>
      <left style="thin">
        <color theme="2" tint="-9.9948118533890809E-2"/>
      </left>
      <right/>
      <top style="thin">
        <color theme="2" tint="-9.9948118533890809E-2"/>
      </top>
      <bottom style="thin">
        <color theme="2" tint="-9.9948118533890809E-2"/>
      </bottom>
      <diagonal/>
    </border>
    <border>
      <left/>
      <right/>
      <top style="thin">
        <color theme="2" tint="-9.9948118533890809E-2"/>
      </top>
      <bottom style="thin">
        <color theme="2" tint="-9.9948118533890809E-2"/>
      </bottom>
      <diagonal/>
    </border>
    <border>
      <left/>
      <right style="thin">
        <color theme="2" tint="-9.9948118533890809E-2"/>
      </right>
      <top style="thin">
        <color theme="2" tint="-9.9948118533890809E-2"/>
      </top>
      <bottom/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/>
      <diagonal/>
    </border>
    <border>
      <left style="thin">
        <color theme="2" tint="-9.9948118533890809E-2"/>
      </left>
      <right/>
      <top style="thin">
        <color theme="2" tint="-9.9948118533890809E-2"/>
      </top>
      <bottom/>
      <diagonal/>
    </border>
    <border>
      <left/>
      <right style="thin">
        <color theme="2" tint="-9.9948118533890809E-2"/>
      </right>
      <top/>
      <bottom/>
      <diagonal/>
    </border>
    <border>
      <left style="thin">
        <color theme="2" tint="-9.9948118533890809E-2"/>
      </left>
      <right style="thin">
        <color theme="2" tint="-9.9948118533890809E-2"/>
      </right>
      <top/>
      <bottom/>
      <diagonal/>
    </border>
    <border>
      <left style="thin">
        <color theme="2" tint="-9.9948118533890809E-2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theme="2" tint="-9.9948118533890809E-2"/>
      </top>
      <bottom/>
      <diagonal/>
    </border>
    <border>
      <left style="thin">
        <color theme="2" tint="-9.9948118533890809E-2"/>
      </left>
      <right/>
      <top/>
      <bottom style="thin">
        <color theme="2" tint="-9.9948118533890809E-2"/>
      </bottom>
      <diagonal/>
    </border>
    <border>
      <left/>
      <right/>
      <top/>
      <bottom style="thin">
        <color theme="2" tint="-9.9948118533890809E-2"/>
      </bottom>
      <diagonal/>
    </border>
    <border>
      <left/>
      <right/>
      <top style="medium">
        <color indexed="64"/>
      </top>
      <bottom style="thin">
        <color theme="2" tint="-9.9948118533890809E-2"/>
      </bottom>
      <diagonal/>
    </border>
  </borders>
  <cellStyleXfs count="1">
    <xf numFmtId="0" fontId="0" fillId="0" borderId="0"/>
  </cellStyleXfs>
  <cellXfs count="273">
    <xf numFmtId="0" fontId="0" fillId="0" borderId="0" xfId="0"/>
    <xf numFmtId="0" fontId="1" fillId="0" borderId="0" xfId="0" applyFont="1" applyFill="1" applyBorder="1" applyAlignment="1">
      <alignment horizontal="center" vertical="center"/>
    </xf>
    <xf numFmtId="0" fontId="0" fillId="0" borderId="0" xfId="0" applyFill="1"/>
    <xf numFmtId="0" fontId="1" fillId="2" borderId="0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14" fontId="1" fillId="0" borderId="0" xfId="0" applyNumberFormat="1" applyFont="1" applyBorder="1" applyAlignment="1">
      <alignment horizontal="center" vertical="center"/>
    </xf>
    <xf numFmtId="14" fontId="1" fillId="2" borderId="0" xfId="0" applyNumberFormat="1" applyFont="1" applyFill="1" applyBorder="1" applyAlignment="1">
      <alignment horizontal="center" vertical="center"/>
    </xf>
    <xf numFmtId="14" fontId="1" fillId="0" borderId="0" xfId="0" applyNumberFormat="1" applyFont="1" applyFill="1" applyBorder="1" applyAlignment="1">
      <alignment horizontal="center" vertical="center"/>
    </xf>
    <xf numFmtId="14" fontId="3" fillId="0" borderId="9" xfId="0" applyNumberFormat="1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14" fontId="3" fillId="5" borderId="9" xfId="0" applyNumberFormat="1" applyFont="1" applyFill="1" applyBorder="1" applyAlignment="1">
      <alignment horizontal="center" vertical="center"/>
    </xf>
    <xf numFmtId="0" fontId="3" fillId="6" borderId="9" xfId="0" applyFont="1" applyFill="1" applyBorder="1" applyAlignment="1">
      <alignment horizontal="center" vertical="center"/>
    </xf>
    <xf numFmtId="14" fontId="3" fillId="7" borderId="9" xfId="0" applyNumberFormat="1" applyFont="1" applyFill="1" applyBorder="1" applyAlignment="1">
      <alignment horizontal="center" vertical="center"/>
    </xf>
    <xf numFmtId="0" fontId="3" fillId="7" borderId="9" xfId="0" applyFont="1" applyFill="1" applyBorder="1" applyAlignment="1">
      <alignment horizontal="center" vertical="center"/>
    </xf>
    <xf numFmtId="14" fontId="3" fillId="8" borderId="9" xfId="0" applyNumberFormat="1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3" fillId="8" borderId="11" xfId="0" applyFont="1" applyFill="1" applyBorder="1" applyAlignment="1">
      <alignment horizontal="center" vertical="center"/>
    </xf>
    <xf numFmtId="0" fontId="3" fillId="6" borderId="13" xfId="0" applyFont="1" applyFill="1" applyBorder="1" applyAlignment="1">
      <alignment horizontal="center" vertical="center"/>
    </xf>
    <xf numFmtId="0" fontId="0" fillId="6" borderId="0" xfId="0" applyFill="1"/>
    <xf numFmtId="14" fontId="3" fillId="10" borderId="9" xfId="0" applyNumberFormat="1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11" borderId="9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14" fontId="3" fillId="12" borderId="9" xfId="0" applyNumberFormat="1" applyFont="1" applyFill="1" applyBorder="1" applyAlignment="1">
      <alignment horizontal="center" vertical="center"/>
    </xf>
    <xf numFmtId="0" fontId="3" fillId="12" borderId="9" xfId="0" applyFont="1" applyFill="1" applyBorder="1" applyAlignment="1">
      <alignment horizontal="center" vertical="center"/>
    </xf>
    <xf numFmtId="0" fontId="4" fillId="12" borderId="9" xfId="0" applyFont="1" applyFill="1" applyBorder="1" applyAlignment="1">
      <alignment horizontal="center" vertical="center"/>
    </xf>
    <xf numFmtId="0" fontId="5" fillId="0" borderId="0" xfId="0" applyFont="1" applyFill="1"/>
    <xf numFmtId="14" fontId="1" fillId="0" borderId="9" xfId="0" applyNumberFormat="1" applyFont="1" applyBorder="1" applyAlignment="1">
      <alignment horizontal="center" vertical="center"/>
    </xf>
    <xf numFmtId="0" fontId="1" fillId="0" borderId="0" xfId="0" applyFont="1"/>
    <xf numFmtId="0" fontId="3" fillId="0" borderId="9" xfId="0" applyFont="1" applyBorder="1" applyAlignment="1">
      <alignment horizontal="center" vertical="center"/>
    </xf>
    <xf numFmtId="14" fontId="1" fillId="8" borderId="9" xfId="0" applyNumberFormat="1" applyFont="1" applyFill="1" applyBorder="1" applyAlignment="1">
      <alignment horizontal="center" vertical="center"/>
    </xf>
    <xf numFmtId="0" fontId="3" fillId="8" borderId="0" xfId="0" applyFont="1" applyFill="1" applyBorder="1" applyAlignment="1">
      <alignment horizontal="center" vertical="center"/>
    </xf>
    <xf numFmtId="0" fontId="1" fillId="13" borderId="0" xfId="0" applyFont="1" applyFill="1" applyAlignment="1">
      <alignment wrapText="1"/>
    </xf>
    <xf numFmtId="0" fontId="0" fillId="0" borderId="0" xfId="0" applyAlignment="1">
      <alignment wrapText="1"/>
    </xf>
    <xf numFmtId="14" fontId="3" fillId="0" borderId="18" xfId="0" applyNumberFormat="1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14" fontId="3" fillId="0" borderId="21" xfId="0" applyNumberFormat="1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14" fontId="3" fillId="8" borderId="21" xfId="0" applyNumberFormat="1" applyFont="1" applyFill="1" applyBorder="1" applyAlignment="1">
      <alignment horizontal="center" vertical="center"/>
    </xf>
    <xf numFmtId="0" fontId="3" fillId="8" borderId="22" xfId="0" applyFont="1" applyFill="1" applyBorder="1" applyAlignment="1">
      <alignment horizontal="center" vertical="center"/>
    </xf>
    <xf numFmtId="14" fontId="3" fillId="6" borderId="21" xfId="0" applyNumberFormat="1" applyFont="1" applyFill="1" applyBorder="1" applyAlignment="1">
      <alignment horizontal="center" vertical="center"/>
    </xf>
    <xf numFmtId="0" fontId="3" fillId="6" borderId="22" xfId="0" applyFont="1" applyFill="1" applyBorder="1" applyAlignment="1">
      <alignment horizontal="center" vertical="center"/>
    </xf>
    <xf numFmtId="14" fontId="3" fillId="8" borderId="23" xfId="0" applyNumberFormat="1" applyFont="1" applyFill="1" applyBorder="1" applyAlignment="1">
      <alignment horizontal="center" vertical="center"/>
    </xf>
    <xf numFmtId="0" fontId="3" fillId="8" borderId="24" xfId="0" applyFont="1" applyFill="1" applyBorder="1" applyAlignment="1">
      <alignment horizontal="center" vertical="center"/>
    </xf>
    <xf numFmtId="0" fontId="3" fillId="8" borderId="25" xfId="0" applyFont="1" applyFill="1" applyBorder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4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164" fontId="0" fillId="0" borderId="0" xfId="0" applyNumberFormat="1"/>
    <xf numFmtId="164" fontId="0" fillId="0" borderId="0" xfId="0" applyNumberFormat="1" applyAlignment="1">
      <alignment horizontal="right"/>
    </xf>
    <xf numFmtId="164" fontId="0" fillId="0" borderId="0" xfId="0" applyNumberFormat="1" applyAlignment="1">
      <alignment horizontal="left"/>
    </xf>
    <xf numFmtId="0" fontId="6" fillId="0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0" fillId="0" borderId="26" xfId="0" applyBorder="1"/>
    <xf numFmtId="0" fontId="1" fillId="2" borderId="27" xfId="0" applyFont="1" applyFill="1" applyBorder="1" applyAlignment="1">
      <alignment horizontal="center" vertical="center"/>
    </xf>
    <xf numFmtId="14" fontId="1" fillId="6" borderId="28" xfId="0" applyNumberFormat="1" applyFont="1" applyFill="1" applyBorder="1" applyAlignment="1">
      <alignment horizontal="center" vertical="center"/>
    </xf>
    <xf numFmtId="0" fontId="1" fillId="6" borderId="29" xfId="0" applyFont="1" applyFill="1" applyBorder="1" applyAlignment="1">
      <alignment horizontal="center" vertical="center"/>
    </xf>
    <xf numFmtId="0" fontId="1" fillId="0" borderId="30" xfId="0" applyFont="1" applyFill="1" applyBorder="1" applyAlignment="1">
      <alignment horizontal="center" vertical="center"/>
    </xf>
    <xf numFmtId="0" fontId="1" fillId="6" borderId="31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3" borderId="34" xfId="0" applyFill="1" applyBorder="1" applyAlignment="1">
      <alignment horizontal="center" vertical="center"/>
    </xf>
    <xf numFmtId="0" fontId="0" fillId="3" borderId="36" xfId="0" applyFill="1" applyBorder="1" applyAlignment="1">
      <alignment horizontal="center" vertical="center"/>
    </xf>
    <xf numFmtId="14" fontId="1" fillId="0" borderId="37" xfId="0" applyNumberFormat="1" applyFont="1" applyBorder="1" applyAlignment="1">
      <alignment horizontal="center" vertical="center"/>
    </xf>
    <xf numFmtId="0" fontId="8" fillId="0" borderId="38" xfId="0" applyFont="1" applyFill="1" applyBorder="1" applyAlignment="1">
      <alignment horizontal="center" vertical="center"/>
    </xf>
    <xf numFmtId="0" fontId="1" fillId="0" borderId="39" xfId="0" applyFont="1" applyFill="1" applyBorder="1" applyAlignment="1">
      <alignment horizontal="center" vertical="center"/>
    </xf>
    <xf numFmtId="0" fontId="7" fillId="0" borderId="38" xfId="0" applyFont="1" applyFill="1" applyBorder="1" applyAlignment="1">
      <alignment horizontal="center" vertical="center"/>
    </xf>
    <xf numFmtId="14" fontId="1" fillId="2" borderId="37" xfId="0" applyNumberFormat="1" applyFont="1" applyFill="1" applyBorder="1" applyAlignment="1">
      <alignment horizontal="center" vertical="center"/>
    </xf>
    <xf numFmtId="0" fontId="1" fillId="2" borderId="38" xfId="0" applyFont="1" applyFill="1" applyBorder="1" applyAlignment="1">
      <alignment horizontal="center" vertical="center"/>
    </xf>
    <xf numFmtId="0" fontId="1" fillId="2" borderId="39" xfId="0" applyFont="1" applyFill="1" applyBorder="1" applyAlignment="1">
      <alignment horizontal="center" vertical="center"/>
    </xf>
    <xf numFmtId="14" fontId="1" fillId="6" borderId="40" xfId="0" applyNumberFormat="1" applyFont="1" applyFill="1" applyBorder="1" applyAlignment="1">
      <alignment horizontal="center" vertical="center"/>
    </xf>
    <xf numFmtId="0" fontId="8" fillId="6" borderId="38" xfId="0" applyFont="1" applyFill="1" applyBorder="1" applyAlignment="1">
      <alignment horizontal="center" vertical="center"/>
    </xf>
    <xf numFmtId="0" fontId="1" fillId="6" borderId="39" xfId="0" applyFont="1" applyFill="1" applyBorder="1" applyAlignment="1">
      <alignment horizontal="center" vertical="center"/>
    </xf>
    <xf numFmtId="14" fontId="1" fillId="6" borderId="37" xfId="0" applyNumberFormat="1" applyFont="1" applyFill="1" applyBorder="1" applyAlignment="1">
      <alignment horizontal="center" vertical="center"/>
    </xf>
    <xf numFmtId="0" fontId="7" fillId="2" borderId="38" xfId="0" applyFont="1" applyFill="1" applyBorder="1" applyAlignment="1">
      <alignment horizontal="center" vertical="center"/>
    </xf>
    <xf numFmtId="14" fontId="1" fillId="6" borderId="41" xfId="0" applyNumberFormat="1" applyFont="1" applyFill="1" applyBorder="1" applyAlignment="1">
      <alignment horizontal="center" vertical="center"/>
    </xf>
    <xf numFmtId="0" fontId="7" fillId="6" borderId="38" xfId="0" applyFont="1" applyFill="1" applyBorder="1" applyAlignment="1">
      <alignment horizontal="center" vertical="center"/>
    </xf>
    <xf numFmtId="14" fontId="1" fillId="0" borderId="42" xfId="0" applyNumberFormat="1" applyFont="1" applyBorder="1" applyAlignment="1">
      <alignment horizontal="center" vertical="center"/>
    </xf>
    <xf numFmtId="0" fontId="1" fillId="0" borderId="44" xfId="0" applyFont="1" applyFill="1" applyBorder="1" applyAlignment="1">
      <alignment horizontal="center" vertical="center"/>
    </xf>
    <xf numFmtId="0" fontId="7" fillId="0" borderId="43" xfId="0" applyFont="1" applyFill="1" applyBorder="1" applyAlignment="1">
      <alignment horizontal="center" vertical="center"/>
    </xf>
    <xf numFmtId="0" fontId="1" fillId="2" borderId="38" xfId="0" applyFont="1" applyFill="1" applyBorder="1" applyAlignment="1">
      <alignment horizontal="center" vertical="center"/>
    </xf>
    <xf numFmtId="0" fontId="0" fillId="3" borderId="7" xfId="0" applyFill="1" applyBorder="1" applyAlignment="1">
      <alignment horizontal="center"/>
    </xf>
    <xf numFmtId="0" fontId="0" fillId="3" borderId="45" xfId="0" applyFill="1" applyBorder="1" applyAlignment="1">
      <alignment horizontal="center" vertical="center"/>
    </xf>
    <xf numFmtId="0" fontId="6" fillId="0" borderId="38" xfId="0" applyFont="1" applyFill="1" applyBorder="1" applyAlignment="1">
      <alignment horizontal="center" vertical="center"/>
    </xf>
    <xf numFmtId="0" fontId="1" fillId="0" borderId="46" xfId="0" applyFont="1" applyFill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9" fillId="0" borderId="0" xfId="0" applyFont="1"/>
    <xf numFmtId="0" fontId="14" fillId="0" borderId="0" xfId="0" applyFont="1"/>
    <xf numFmtId="14" fontId="1" fillId="0" borderId="37" xfId="0" applyNumberFormat="1" applyFont="1" applyFill="1" applyBorder="1" applyAlignment="1">
      <alignment horizontal="center" vertical="center"/>
    </xf>
    <xf numFmtId="0" fontId="5" fillId="0" borderId="0" xfId="0" applyFont="1"/>
    <xf numFmtId="0" fontId="2" fillId="0" borderId="0" xfId="0" applyFont="1"/>
    <xf numFmtId="0" fontId="8" fillId="2" borderId="38" xfId="0" applyFont="1" applyFill="1" applyBorder="1" applyAlignment="1">
      <alignment horizontal="center" vertical="center"/>
    </xf>
    <xf numFmtId="0" fontId="15" fillId="0" borderId="0" xfId="0" applyFont="1"/>
    <xf numFmtId="0" fontId="16" fillId="0" borderId="0" xfId="0" applyFont="1"/>
    <xf numFmtId="14" fontId="1" fillId="2" borderId="40" xfId="0" applyNumberFormat="1" applyFont="1" applyFill="1" applyBorder="1" applyAlignment="1">
      <alignment horizontal="center" vertical="center"/>
    </xf>
    <xf numFmtId="0" fontId="6" fillId="2" borderId="38" xfId="0" applyFont="1" applyFill="1" applyBorder="1" applyAlignment="1">
      <alignment horizontal="center" vertical="center"/>
    </xf>
    <xf numFmtId="14" fontId="1" fillId="2" borderId="41" xfId="0" applyNumberFormat="1" applyFont="1" applyFill="1" applyBorder="1" applyAlignment="1">
      <alignment horizontal="center" vertical="center"/>
    </xf>
    <xf numFmtId="0" fontId="6" fillId="6" borderId="0" xfId="0" applyFont="1" applyFill="1" applyBorder="1" applyAlignment="1">
      <alignment horizontal="center"/>
    </xf>
    <xf numFmtId="0" fontId="6" fillId="0" borderId="0" xfId="0" applyFont="1" applyBorder="1" applyAlignment="1">
      <alignment horizontal="center" vertical="center"/>
    </xf>
    <xf numFmtId="14" fontId="1" fillId="0" borderId="48" xfId="0" applyNumberFormat="1" applyFont="1" applyBorder="1" applyAlignment="1">
      <alignment horizontal="center" vertical="center"/>
    </xf>
    <xf numFmtId="0" fontId="6" fillId="0" borderId="49" xfId="0" applyFont="1" applyFill="1" applyBorder="1" applyAlignment="1">
      <alignment horizontal="center" vertical="center"/>
    </xf>
    <xf numFmtId="0" fontId="1" fillId="0" borderId="50" xfId="0" applyFont="1" applyFill="1" applyBorder="1" applyAlignment="1">
      <alignment horizontal="center" vertical="center"/>
    </xf>
    <xf numFmtId="14" fontId="1" fillId="0" borderId="51" xfId="0" applyNumberFormat="1" applyFont="1" applyBorder="1" applyAlignment="1">
      <alignment horizontal="center" vertical="center"/>
    </xf>
    <xf numFmtId="0" fontId="6" fillId="0" borderId="52" xfId="0" applyFont="1" applyFill="1" applyBorder="1" applyAlignment="1">
      <alignment horizontal="center" vertical="center"/>
    </xf>
    <xf numFmtId="0" fontId="1" fillId="0" borderId="53" xfId="0" applyFont="1" applyFill="1" applyBorder="1" applyAlignment="1">
      <alignment horizontal="center" vertical="center"/>
    </xf>
    <xf numFmtId="0" fontId="18" fillId="0" borderId="0" xfId="0" applyFont="1"/>
    <xf numFmtId="0" fontId="19" fillId="0" borderId="0" xfId="0" applyFont="1"/>
    <xf numFmtId="0" fontId="20" fillId="0" borderId="38" xfId="0" applyFont="1" applyFill="1" applyBorder="1" applyAlignment="1">
      <alignment horizontal="center" vertical="center"/>
    </xf>
    <xf numFmtId="0" fontId="17" fillId="0" borderId="38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2" fillId="0" borderId="0" xfId="0" applyFont="1"/>
    <xf numFmtId="0" fontId="0" fillId="3" borderId="7" xfId="0" applyFill="1" applyBorder="1" applyAlignment="1">
      <alignment horizontal="center"/>
    </xf>
    <xf numFmtId="0" fontId="6" fillId="0" borderId="46" xfId="0" applyFont="1" applyFill="1" applyBorder="1" applyAlignment="1">
      <alignment horizontal="center" vertical="center"/>
    </xf>
    <xf numFmtId="0" fontId="6" fillId="2" borderId="46" xfId="0" applyFont="1" applyFill="1" applyBorder="1" applyAlignment="1">
      <alignment horizontal="center" vertical="center"/>
    </xf>
    <xf numFmtId="0" fontId="13" fillId="14" borderId="0" xfId="0" applyFont="1" applyFill="1"/>
    <xf numFmtId="14" fontId="23" fillId="0" borderId="37" xfId="0" applyNumberFormat="1" applyFont="1" applyBorder="1" applyAlignment="1">
      <alignment horizontal="center" vertical="center"/>
    </xf>
    <xf numFmtId="0" fontId="24" fillId="0" borderId="38" xfId="0" applyFont="1" applyFill="1" applyBorder="1" applyAlignment="1">
      <alignment horizontal="center" vertical="center"/>
    </xf>
    <xf numFmtId="0" fontId="25" fillId="0" borderId="38" xfId="0" applyFont="1" applyFill="1" applyBorder="1" applyAlignment="1">
      <alignment horizontal="center" vertical="center"/>
    </xf>
    <xf numFmtId="0" fontId="23" fillId="0" borderId="46" xfId="0" applyFont="1" applyFill="1" applyBorder="1" applyAlignment="1">
      <alignment horizontal="center" vertical="center"/>
    </xf>
    <xf numFmtId="0" fontId="26" fillId="14" borderId="38" xfId="0" applyFont="1" applyFill="1" applyBorder="1" applyAlignment="1">
      <alignment horizontal="center" vertical="center"/>
    </xf>
    <xf numFmtId="14" fontId="23" fillId="11" borderId="37" xfId="0" applyNumberFormat="1" applyFont="1" applyFill="1" applyBorder="1" applyAlignment="1">
      <alignment horizontal="center" vertical="center"/>
    </xf>
    <xf numFmtId="14" fontId="23" fillId="0" borderId="37" xfId="0" applyNumberFormat="1" applyFont="1" applyFill="1" applyBorder="1" applyAlignment="1">
      <alignment horizontal="center" vertical="center"/>
    </xf>
    <xf numFmtId="0" fontId="23" fillId="11" borderId="46" xfId="0" applyFont="1" applyFill="1" applyBorder="1" applyAlignment="1">
      <alignment horizontal="center" vertical="center"/>
    </xf>
    <xf numFmtId="14" fontId="23" fillId="2" borderId="37" xfId="0" applyNumberFormat="1" applyFont="1" applyFill="1" applyBorder="1" applyAlignment="1">
      <alignment horizontal="center" vertical="center"/>
    </xf>
    <xf numFmtId="0" fontId="23" fillId="2" borderId="46" xfId="0" applyFont="1" applyFill="1" applyBorder="1" applyAlignment="1">
      <alignment horizontal="center" vertical="center"/>
    </xf>
    <xf numFmtId="0" fontId="28" fillId="2" borderId="38" xfId="0" applyFont="1" applyFill="1" applyBorder="1" applyAlignment="1">
      <alignment horizontal="center" vertical="center"/>
    </xf>
    <xf numFmtId="0" fontId="25" fillId="0" borderId="46" xfId="0" applyFont="1" applyFill="1" applyBorder="1" applyAlignment="1">
      <alignment horizontal="center" vertical="center"/>
    </xf>
    <xf numFmtId="0" fontId="25" fillId="2" borderId="38" xfId="0" applyFont="1" applyFill="1" applyBorder="1" applyAlignment="1">
      <alignment horizontal="center" vertical="center"/>
    </xf>
    <xf numFmtId="0" fontId="25" fillId="2" borderId="46" xfId="0" applyFont="1" applyFill="1" applyBorder="1" applyAlignment="1">
      <alignment horizontal="center" vertical="center"/>
    </xf>
    <xf numFmtId="14" fontId="23" fillId="2" borderId="40" xfId="0" applyNumberFormat="1" applyFont="1" applyFill="1" applyBorder="1" applyAlignment="1">
      <alignment horizontal="center" vertical="center"/>
    </xf>
    <xf numFmtId="0" fontId="25" fillId="6" borderId="38" xfId="0" applyFont="1" applyFill="1" applyBorder="1" applyAlignment="1">
      <alignment horizontal="center" vertical="center"/>
    </xf>
    <xf numFmtId="14" fontId="23" fillId="6" borderId="37" xfId="0" applyNumberFormat="1" applyFont="1" applyFill="1" applyBorder="1" applyAlignment="1">
      <alignment horizontal="center" vertical="center"/>
    </xf>
    <xf numFmtId="0" fontId="25" fillId="0" borderId="0" xfId="0" applyFont="1" applyBorder="1" applyAlignment="1">
      <alignment horizontal="center"/>
    </xf>
    <xf numFmtId="0" fontId="25" fillId="6" borderId="46" xfId="0" applyFont="1" applyFill="1" applyBorder="1" applyAlignment="1">
      <alignment horizontal="center" vertical="center"/>
    </xf>
    <xf numFmtId="0" fontId="6" fillId="14" borderId="38" xfId="0" applyFont="1" applyFill="1" applyBorder="1" applyAlignment="1">
      <alignment horizontal="center" vertical="center"/>
    </xf>
    <xf numFmtId="0" fontId="6" fillId="14" borderId="52" xfId="0" applyFont="1" applyFill="1" applyBorder="1" applyAlignment="1">
      <alignment horizontal="center" vertical="center"/>
    </xf>
    <xf numFmtId="0" fontId="29" fillId="0" borderId="38" xfId="0" applyFont="1" applyFill="1" applyBorder="1" applyAlignment="1">
      <alignment horizontal="center" vertical="center"/>
    </xf>
    <xf numFmtId="0" fontId="7" fillId="14" borderId="38" xfId="0" applyFont="1" applyFill="1" applyBorder="1" applyAlignment="1">
      <alignment horizontal="center" vertical="center"/>
    </xf>
    <xf numFmtId="14" fontId="1" fillId="11" borderId="37" xfId="0" applyNumberFormat="1" applyFont="1" applyFill="1" applyBorder="1" applyAlignment="1">
      <alignment horizontal="center" vertical="center"/>
    </xf>
    <xf numFmtId="0" fontId="1" fillId="11" borderId="46" xfId="0" applyFont="1" applyFill="1" applyBorder="1" applyAlignment="1">
      <alignment horizontal="center" vertical="center"/>
    </xf>
    <xf numFmtId="0" fontId="1" fillId="2" borderId="46" xfId="0" applyFont="1" applyFill="1" applyBorder="1" applyAlignment="1">
      <alignment horizontal="center" vertical="center"/>
    </xf>
    <xf numFmtId="0" fontId="6" fillId="6" borderId="46" xfId="0" applyFont="1" applyFill="1" applyBorder="1" applyAlignment="1">
      <alignment horizontal="center" vertical="center"/>
    </xf>
    <xf numFmtId="0" fontId="0" fillId="3" borderId="7" xfId="0" applyFont="1" applyFill="1" applyBorder="1" applyAlignment="1">
      <alignment horizontal="center"/>
    </xf>
    <xf numFmtId="0" fontId="6" fillId="11" borderId="0" xfId="0" applyFont="1" applyFill="1" applyBorder="1" applyAlignment="1">
      <alignment horizontal="center"/>
    </xf>
    <xf numFmtId="0" fontId="6" fillId="11" borderId="0" xfId="0" applyFont="1" applyFill="1" applyBorder="1" applyAlignment="1">
      <alignment horizontal="center" vertical="center"/>
    </xf>
    <xf numFmtId="0" fontId="6" fillId="11" borderId="38" xfId="0" applyFont="1" applyFill="1" applyBorder="1" applyAlignment="1">
      <alignment horizontal="center" vertical="center"/>
    </xf>
    <xf numFmtId="0" fontId="6" fillId="11" borderId="49" xfId="0" applyFont="1" applyFill="1" applyBorder="1" applyAlignment="1">
      <alignment horizontal="center" vertical="center"/>
    </xf>
    <xf numFmtId="0" fontId="0" fillId="3" borderId="7" xfId="0" applyFill="1" applyBorder="1" applyAlignment="1">
      <alignment horizontal="center"/>
    </xf>
    <xf numFmtId="0" fontId="0" fillId="3" borderId="1" xfId="0" applyFill="1" applyBorder="1" applyAlignment="1"/>
    <xf numFmtId="0" fontId="0" fillId="3" borderId="4" xfId="0" applyFill="1" applyBorder="1" applyAlignment="1"/>
    <xf numFmtId="0" fontId="0" fillId="3" borderId="3" xfId="0" applyFill="1" applyBorder="1" applyAlignment="1"/>
    <xf numFmtId="0" fontId="0" fillId="3" borderId="5" xfId="0" applyFill="1" applyBorder="1" applyAlignment="1"/>
    <xf numFmtId="0" fontId="0" fillId="3" borderId="7" xfId="0" applyFill="1" applyBorder="1" applyAlignment="1">
      <alignment horizontal="center"/>
    </xf>
    <xf numFmtId="0" fontId="30" fillId="0" borderId="0" xfId="0" applyFont="1"/>
    <xf numFmtId="0" fontId="31" fillId="0" borderId="0" xfId="0" applyFont="1"/>
    <xf numFmtId="0" fontId="0" fillId="11" borderId="0" xfId="0" applyFill="1"/>
    <xf numFmtId="0" fontId="6" fillId="6" borderId="38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/>
    </xf>
    <xf numFmtId="0" fontId="6" fillId="15" borderId="38" xfId="0" applyFont="1" applyFill="1" applyBorder="1" applyAlignment="1">
      <alignment horizontal="center" vertical="center"/>
    </xf>
    <xf numFmtId="14" fontId="6" fillId="0" borderId="37" xfId="0" applyNumberFormat="1" applyFont="1" applyFill="1" applyBorder="1" applyAlignment="1">
      <alignment horizontal="center" vertical="center"/>
    </xf>
    <xf numFmtId="0" fontId="6" fillId="0" borderId="50" xfId="0" applyFont="1" applyFill="1" applyBorder="1" applyAlignment="1">
      <alignment horizontal="center" vertical="center"/>
    </xf>
    <xf numFmtId="0" fontId="6" fillId="0" borderId="53" xfId="0" applyFont="1" applyFill="1" applyBorder="1" applyAlignment="1">
      <alignment horizontal="center" vertical="center"/>
    </xf>
    <xf numFmtId="0" fontId="7" fillId="0" borderId="0" xfId="0" applyFont="1"/>
    <xf numFmtId="14" fontId="7" fillId="2" borderId="37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31" fillId="11" borderId="54" xfId="0" applyFont="1" applyFill="1" applyBorder="1" applyAlignment="1">
      <alignment horizontal="center"/>
    </xf>
    <xf numFmtId="0" fontId="31" fillId="0" borderId="21" xfId="0" applyFont="1" applyBorder="1" applyAlignment="1">
      <alignment horizontal="left"/>
    </xf>
    <xf numFmtId="0" fontId="0" fillId="0" borderId="9" xfId="0" applyBorder="1"/>
    <xf numFmtId="0" fontId="0" fillId="0" borderId="22" xfId="0" applyBorder="1"/>
    <xf numFmtId="0" fontId="31" fillId="15" borderId="21" xfId="0" applyFont="1" applyFill="1" applyBorder="1" applyAlignment="1">
      <alignment horizontal="left"/>
    </xf>
    <xf numFmtId="0" fontId="0" fillId="15" borderId="9" xfId="0" applyFill="1" applyBorder="1"/>
    <xf numFmtId="0" fontId="0" fillId="15" borderId="22" xfId="0" applyFill="1" applyBorder="1"/>
    <xf numFmtId="0" fontId="32" fillId="0" borderId="21" xfId="0" applyFont="1" applyFill="1" applyBorder="1" applyAlignment="1">
      <alignment horizontal="left" vertical="center"/>
    </xf>
    <xf numFmtId="0" fontId="31" fillId="0" borderId="23" xfId="0" applyFont="1" applyBorder="1" applyAlignment="1">
      <alignment horizontal="left"/>
    </xf>
    <xf numFmtId="0" fontId="0" fillId="0" borderId="24" xfId="0" applyBorder="1"/>
    <xf numFmtId="0" fontId="0" fillId="0" borderId="25" xfId="0" applyBorder="1"/>
    <xf numFmtId="0" fontId="31" fillId="0" borderId="55" xfId="0" applyFont="1" applyBorder="1" applyAlignment="1">
      <alignment horizontal="left"/>
    </xf>
    <xf numFmtId="0" fontId="0" fillId="0" borderId="56" xfId="0" applyBorder="1"/>
    <xf numFmtId="0" fontId="0" fillId="0" borderId="57" xfId="0" applyBorder="1"/>
    <xf numFmtId="0" fontId="0" fillId="0" borderId="7" xfId="0" applyBorder="1"/>
    <xf numFmtId="0" fontId="0" fillId="0" borderId="8" xfId="0" applyBorder="1"/>
    <xf numFmtId="0" fontId="2" fillId="0" borderId="58" xfId="0" applyFont="1" applyFill="1" applyBorder="1"/>
    <xf numFmtId="0" fontId="2" fillId="0" borderId="59" xfId="0" applyFont="1" applyFill="1" applyBorder="1"/>
    <xf numFmtId="0" fontId="2" fillId="15" borderId="59" xfId="0" applyFont="1" applyFill="1" applyBorder="1"/>
    <xf numFmtId="0" fontId="2" fillId="0" borderId="60" xfId="0" applyFont="1" applyFill="1" applyBorder="1"/>
    <xf numFmtId="0" fontId="31" fillId="0" borderId="0" xfId="0" applyFont="1" applyFill="1" applyBorder="1" applyAlignment="1">
      <alignment horizontal="left"/>
    </xf>
    <xf numFmtId="0" fontId="0" fillId="0" borderId="0" xfId="0" applyAlignment="1"/>
    <xf numFmtId="0" fontId="33" fillId="0" borderId="0" xfId="0" applyFont="1" applyFill="1" applyBorder="1" applyAlignment="1">
      <alignment horizontal="left" vertical="center"/>
    </xf>
    <xf numFmtId="0" fontId="0" fillId="0" borderId="0" xfId="0" applyFont="1"/>
    <xf numFmtId="0" fontId="5" fillId="0" borderId="0" xfId="0" applyFont="1" applyFill="1" applyBorder="1" applyAlignment="1">
      <alignment horizontal="left" vertical="center"/>
    </xf>
    <xf numFmtId="0" fontId="5" fillId="0" borderId="38" xfId="0" applyFont="1" applyFill="1" applyBorder="1" applyAlignment="1">
      <alignment horizontal="left" vertical="center"/>
    </xf>
    <xf numFmtId="0" fontId="9" fillId="0" borderId="0" xfId="0" applyFont="1" applyAlignment="1">
      <alignment horizontal="right"/>
    </xf>
    <xf numFmtId="0" fontId="9" fillId="16" borderId="0" xfId="0" applyFont="1" applyFill="1"/>
    <xf numFmtId="0" fontId="0" fillId="16" borderId="0" xfId="0" applyFill="1"/>
    <xf numFmtId="0" fontId="7" fillId="16" borderId="46" xfId="0" applyFont="1" applyFill="1" applyBorder="1" applyAlignment="1">
      <alignment horizontal="center" vertical="center"/>
    </xf>
    <xf numFmtId="0" fontId="6" fillId="0" borderId="47" xfId="0" applyFont="1" applyFill="1" applyBorder="1" applyAlignment="1">
      <alignment horizontal="center" vertical="center"/>
    </xf>
    <xf numFmtId="0" fontId="15" fillId="11" borderId="0" xfId="0" applyFont="1" applyFill="1"/>
    <xf numFmtId="0" fontId="6" fillId="17" borderId="38" xfId="0" applyFont="1" applyFill="1" applyBorder="1" applyAlignment="1">
      <alignment horizontal="center" vertical="center"/>
    </xf>
    <xf numFmtId="0" fontId="0" fillId="17" borderId="0" xfId="0" applyFill="1" applyAlignment="1">
      <alignment horizontal="right"/>
    </xf>
    <xf numFmtId="0" fontId="35" fillId="18" borderId="46" xfId="0" applyFont="1" applyFill="1" applyBorder="1" applyAlignment="1">
      <alignment horizontal="center" vertical="center"/>
    </xf>
    <xf numFmtId="0" fontId="34" fillId="18" borderId="0" xfId="0" applyFont="1" applyFill="1"/>
    <xf numFmtId="0" fontId="0" fillId="3" borderId="7" xfId="0" applyFill="1" applyBorder="1" applyAlignment="1">
      <alignment horizontal="center"/>
    </xf>
    <xf numFmtId="14" fontId="7" fillId="11" borderId="37" xfId="0" applyNumberFormat="1" applyFont="1" applyFill="1" applyBorder="1" applyAlignment="1">
      <alignment horizontal="center" vertical="center"/>
    </xf>
    <xf numFmtId="0" fontId="7" fillId="11" borderId="38" xfId="0" applyFont="1" applyFill="1" applyBorder="1" applyAlignment="1">
      <alignment horizontal="center" vertical="center"/>
    </xf>
    <xf numFmtId="0" fontId="7" fillId="11" borderId="0" xfId="0" applyFont="1" applyFill="1" applyBorder="1" applyAlignment="1">
      <alignment horizontal="center" vertical="center"/>
    </xf>
    <xf numFmtId="0" fontId="7" fillId="11" borderId="46" xfId="0" applyFont="1" applyFill="1" applyBorder="1" applyAlignment="1">
      <alignment horizontal="center" vertical="center"/>
    </xf>
    <xf numFmtId="0" fontId="9" fillId="11" borderId="0" xfId="0" applyFont="1" applyFill="1"/>
    <xf numFmtId="0" fontId="1" fillId="0" borderId="38" xfId="0" applyFont="1" applyFill="1" applyBorder="1" applyAlignment="1">
      <alignment vertical="center"/>
    </xf>
    <xf numFmtId="0" fontId="29" fillId="0" borderId="4" xfId="0" applyFont="1" applyBorder="1" applyAlignment="1"/>
    <xf numFmtId="0" fontId="29" fillId="0" borderId="0" xfId="0" applyFont="1" applyAlignment="1"/>
    <xf numFmtId="0" fontId="37" fillId="16" borderId="0" xfId="0" applyFont="1" applyFill="1"/>
    <xf numFmtId="0" fontId="31" fillId="0" borderId="21" xfId="0" applyFont="1" applyFill="1" applyBorder="1" applyAlignment="1">
      <alignment horizontal="left"/>
    </xf>
    <xf numFmtId="0" fontId="0" fillId="0" borderId="9" xfId="0" applyFill="1" applyBorder="1"/>
    <xf numFmtId="0" fontId="0" fillId="0" borderId="22" xfId="0" applyFill="1" applyBorder="1"/>
    <xf numFmtId="0" fontId="36" fillId="11" borderId="4" xfId="0" applyFont="1" applyFill="1" applyBorder="1" applyAlignment="1">
      <alignment horizontal="center" wrapText="1"/>
    </xf>
    <xf numFmtId="0" fontId="36" fillId="11" borderId="0" xfId="0" applyFont="1" applyFill="1" applyAlignment="1">
      <alignment horizontal="center" wrapText="1"/>
    </xf>
    <xf numFmtId="0" fontId="0" fillId="3" borderId="45" xfId="0" applyFill="1" applyBorder="1" applyAlignment="1">
      <alignment horizontal="center" vertical="center"/>
    </xf>
    <xf numFmtId="0" fontId="0" fillId="3" borderId="64" xfId="0" applyFill="1" applyBorder="1" applyAlignment="1">
      <alignment horizontal="center" vertical="center"/>
    </xf>
    <xf numFmtId="0" fontId="6" fillId="0" borderId="50" xfId="0" applyFont="1" applyFill="1" applyBorder="1" applyAlignment="1">
      <alignment horizontal="center" vertical="center"/>
    </xf>
    <xf numFmtId="0" fontId="6" fillId="0" borderId="6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13" fillId="11" borderId="46" xfId="0" applyFont="1" applyFill="1" applyBorder="1" applyAlignment="1">
      <alignment horizontal="center" vertical="center"/>
    </xf>
    <xf numFmtId="0" fontId="7" fillId="11" borderId="47" xfId="0" applyFont="1" applyFill="1" applyBorder="1" applyAlignment="1">
      <alignment horizontal="center" vertical="center"/>
    </xf>
    <xf numFmtId="0" fontId="1" fillId="2" borderId="38" xfId="0" applyFont="1" applyFill="1" applyBorder="1" applyAlignment="1">
      <alignment horizontal="center" vertical="center"/>
    </xf>
    <xf numFmtId="0" fontId="6" fillId="2" borderId="50" xfId="0" applyFont="1" applyFill="1" applyBorder="1" applyAlignment="1">
      <alignment horizontal="center" vertical="center"/>
    </xf>
    <xf numFmtId="0" fontId="6" fillId="2" borderId="61" xfId="0" applyFont="1" applyFill="1" applyBorder="1" applyAlignment="1">
      <alignment horizontal="center" vertical="center"/>
    </xf>
    <xf numFmtId="0" fontId="6" fillId="2" borderId="53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62" xfId="0" applyFont="1" applyFill="1" applyBorder="1" applyAlignment="1">
      <alignment horizontal="center" vertical="center"/>
    </xf>
    <xf numFmtId="0" fontId="6" fillId="2" borderId="63" xfId="0" applyFont="1" applyFill="1" applyBorder="1" applyAlignment="1">
      <alignment horizontal="center" vertical="center"/>
    </xf>
    <xf numFmtId="0" fontId="0" fillId="3" borderId="35" xfId="0" applyFill="1" applyBorder="1" applyAlignment="1">
      <alignment horizontal="center" vertical="center"/>
    </xf>
    <xf numFmtId="0" fontId="7" fillId="2" borderId="46" xfId="0" applyFont="1" applyFill="1" applyBorder="1" applyAlignment="1">
      <alignment horizontal="center" vertical="center"/>
    </xf>
    <xf numFmtId="0" fontId="7" fillId="2" borderId="47" xfId="0" applyFont="1" applyFill="1" applyBorder="1" applyAlignment="1">
      <alignment horizontal="center" vertical="center"/>
    </xf>
    <xf numFmtId="0" fontId="29" fillId="0" borderId="4" xfId="0" applyFont="1" applyBorder="1" applyAlignment="1">
      <alignment horizontal="center"/>
    </xf>
    <xf numFmtId="0" fontId="29" fillId="0" borderId="0" xfId="0" applyFont="1" applyAlignment="1">
      <alignment horizontal="center"/>
    </xf>
    <xf numFmtId="0" fontId="27" fillId="11" borderId="46" xfId="0" applyFont="1" applyFill="1" applyBorder="1" applyAlignment="1">
      <alignment horizontal="center" vertical="center"/>
    </xf>
    <xf numFmtId="0" fontId="26" fillId="11" borderId="47" xfId="0" applyFont="1" applyFill="1" applyBorder="1" applyAlignment="1">
      <alignment horizontal="center" vertical="center"/>
    </xf>
    <xf numFmtId="0" fontId="23" fillId="2" borderId="38" xfId="0" applyFont="1" applyFill="1" applyBorder="1" applyAlignment="1">
      <alignment horizontal="center" vertical="center"/>
    </xf>
    <xf numFmtId="0" fontId="0" fillId="3" borderId="7" xfId="0" applyFill="1" applyBorder="1" applyAlignment="1">
      <alignment horizontal="center"/>
    </xf>
    <xf numFmtId="0" fontId="0" fillId="3" borderId="32" xfId="0" applyFill="1" applyBorder="1" applyAlignment="1">
      <alignment horizontal="center"/>
    </xf>
    <xf numFmtId="0" fontId="0" fillId="3" borderId="33" xfId="0" applyFill="1" applyBorder="1" applyAlignment="1">
      <alignment horizontal="center"/>
    </xf>
    <xf numFmtId="0" fontId="0" fillId="3" borderId="2" xfId="0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 wrapText="1"/>
    </xf>
    <xf numFmtId="0" fontId="1" fillId="8" borderId="11" xfId="0" applyFont="1" applyFill="1" applyBorder="1" applyAlignment="1">
      <alignment horizontal="center" vertical="center"/>
    </xf>
    <xf numFmtId="0" fontId="1" fillId="8" borderId="10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8" borderId="13" xfId="0" applyFont="1" applyFill="1" applyBorder="1" applyAlignment="1">
      <alignment horizontal="center" vertical="center"/>
    </xf>
    <xf numFmtId="0" fontId="1" fillId="8" borderId="16" xfId="0" applyFont="1" applyFill="1" applyBorder="1" applyAlignment="1">
      <alignment horizontal="center" vertical="center"/>
    </xf>
    <xf numFmtId="0" fontId="1" fillId="8" borderId="14" xfId="0" applyFont="1" applyFill="1" applyBorder="1" applyAlignment="1">
      <alignment horizontal="center" vertical="center"/>
    </xf>
    <xf numFmtId="0" fontId="1" fillId="8" borderId="17" xfId="0" applyFont="1" applyFill="1" applyBorder="1" applyAlignment="1">
      <alignment horizontal="center" vertical="center"/>
    </xf>
    <xf numFmtId="0" fontId="7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DD5FF"/>
      <color rgb="FF0066FF"/>
      <color rgb="FFD7A4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FB8B6-15B4-437B-86D1-7A5D899D57F9}">
  <sheetPr>
    <pageSetUpPr fitToPage="1"/>
  </sheetPr>
  <dimension ref="A1:AD54"/>
  <sheetViews>
    <sheetView tabSelected="1" zoomScale="80" zoomScaleNormal="80" workbookViewId="0">
      <selection activeCell="X11" sqref="X11"/>
    </sheetView>
  </sheetViews>
  <sheetFormatPr baseColWidth="10" defaultRowHeight="15" x14ac:dyDescent="0.25"/>
  <cols>
    <col min="1" max="1" width="1.28515625" customWidth="1"/>
    <col min="2" max="2" width="15.28515625" customWidth="1"/>
    <col min="4" max="4" width="13.5703125" customWidth="1"/>
    <col min="5" max="5" width="16.7109375" customWidth="1"/>
    <col min="6" max="6" width="2.140625" customWidth="1"/>
    <col min="10" max="10" width="8" customWidth="1"/>
    <col min="11" max="11" width="9.7109375" customWidth="1"/>
    <col min="12" max="12" width="5" customWidth="1"/>
    <col min="14" max="14" width="2" customWidth="1"/>
    <col min="15" max="15" width="15.7109375" customWidth="1"/>
    <col min="18" max="18" width="12" customWidth="1"/>
    <col min="19" max="19" width="1.5703125" customWidth="1"/>
  </cols>
  <sheetData>
    <row r="1" spans="1:30" x14ac:dyDescent="0.25">
      <c r="A1" s="231"/>
      <c r="B1" s="70" t="s">
        <v>11</v>
      </c>
      <c r="C1" s="227" t="s">
        <v>12</v>
      </c>
      <c r="D1" s="228"/>
      <c r="E1" s="228"/>
      <c r="F1" s="234"/>
    </row>
    <row r="2" spans="1:30" ht="26.25" x14ac:dyDescent="0.4">
      <c r="A2" s="232"/>
      <c r="B2" s="72">
        <v>45892</v>
      </c>
      <c r="C2" s="92" t="s">
        <v>130</v>
      </c>
      <c r="D2" s="92" t="s">
        <v>4</v>
      </c>
      <c r="E2" s="93" t="s">
        <v>99</v>
      </c>
      <c r="F2" s="235"/>
      <c r="G2" s="94" t="s">
        <v>102</v>
      </c>
      <c r="O2" s="97"/>
      <c r="P2" s="97"/>
      <c r="Q2" s="97"/>
    </row>
    <row r="3" spans="1:30" ht="18.75" x14ac:dyDescent="0.3">
      <c r="A3" s="232"/>
      <c r="B3" s="72">
        <v>45899</v>
      </c>
      <c r="C3" s="92" t="s">
        <v>2</v>
      </c>
      <c r="D3" s="92" t="s">
        <v>159</v>
      </c>
      <c r="E3" s="93" t="s">
        <v>99</v>
      </c>
      <c r="F3" s="235"/>
      <c r="O3" s="97"/>
      <c r="P3" s="97"/>
      <c r="Q3" s="97"/>
      <c r="R3" s="173"/>
      <c r="S3" s="173"/>
      <c r="T3" s="173"/>
      <c r="U3" s="173"/>
      <c r="V3" s="173"/>
      <c r="W3" s="173"/>
      <c r="X3" s="173"/>
      <c r="Y3" s="173"/>
      <c r="Z3" s="173"/>
      <c r="AA3" s="173"/>
      <c r="AB3" s="173"/>
      <c r="AC3" s="173"/>
      <c r="AD3" s="173"/>
    </row>
    <row r="4" spans="1:30" ht="26.25" x14ac:dyDescent="0.4">
      <c r="A4" s="232"/>
      <c r="B4" s="72">
        <v>45906</v>
      </c>
      <c r="C4" s="69" t="s">
        <v>130</v>
      </c>
      <c r="D4" s="92" t="s">
        <v>5</v>
      </c>
      <c r="E4" s="93" t="s">
        <v>99</v>
      </c>
      <c r="F4" s="235"/>
      <c r="G4" s="95" t="s">
        <v>103</v>
      </c>
      <c r="O4" s="196" t="s">
        <v>167</v>
      </c>
      <c r="R4" s="272" t="s">
        <v>168</v>
      </c>
      <c r="S4" s="272"/>
      <c r="T4" s="272"/>
      <c r="U4" s="272"/>
      <c r="V4" s="272"/>
      <c r="W4" s="272"/>
      <c r="X4" s="272"/>
      <c r="Y4" s="272"/>
      <c r="Z4" s="272"/>
      <c r="AA4" s="272"/>
      <c r="AB4" s="272"/>
      <c r="AC4" s="272"/>
      <c r="AD4" s="272"/>
    </row>
    <row r="5" spans="1:30" ht="18.75" x14ac:dyDescent="0.3">
      <c r="A5" s="232"/>
      <c r="B5" s="72">
        <v>45913</v>
      </c>
      <c r="C5" s="69" t="s">
        <v>95</v>
      </c>
      <c r="D5" s="92" t="s">
        <v>2</v>
      </c>
      <c r="E5" s="93" t="s">
        <v>99</v>
      </c>
      <c r="F5" s="235"/>
      <c r="G5" s="96"/>
      <c r="O5" s="98"/>
      <c r="R5" s="272"/>
      <c r="S5" s="272"/>
      <c r="T5" s="272"/>
      <c r="U5" s="272"/>
      <c r="V5" s="272"/>
      <c r="W5" s="272"/>
      <c r="X5" s="272"/>
      <c r="Y5" s="272"/>
      <c r="Z5" s="272"/>
      <c r="AA5" s="272"/>
      <c r="AB5" s="272"/>
      <c r="AC5" s="272"/>
      <c r="AD5" s="272"/>
    </row>
    <row r="6" spans="1:30" ht="19.5" thickBot="1" x14ac:dyDescent="0.35">
      <c r="A6" s="232"/>
      <c r="B6" s="72">
        <v>45920</v>
      </c>
      <c r="C6" s="123" t="s">
        <v>130</v>
      </c>
      <c r="D6" s="206" t="s">
        <v>5</v>
      </c>
      <c r="E6" s="206" t="s">
        <v>99</v>
      </c>
      <c r="F6" s="235"/>
      <c r="G6" s="173"/>
      <c r="H6" s="30"/>
      <c r="O6" s="100"/>
      <c r="P6" s="101"/>
    </row>
    <row r="7" spans="1:30" ht="19.5" thickBot="1" x14ac:dyDescent="0.3">
      <c r="A7" s="232"/>
      <c r="B7" s="213">
        <v>45927</v>
      </c>
      <c r="C7" s="237" t="s">
        <v>105</v>
      </c>
      <c r="D7" s="238"/>
      <c r="E7" s="238"/>
      <c r="F7" s="235"/>
      <c r="O7" s="190" t="s">
        <v>165</v>
      </c>
      <c r="P7" s="190"/>
      <c r="Q7" s="191"/>
      <c r="R7" s="176" t="s">
        <v>140</v>
      </c>
    </row>
    <row r="8" spans="1:30" ht="18.75" x14ac:dyDescent="0.3">
      <c r="A8" s="232"/>
      <c r="B8" s="72">
        <v>45934</v>
      </c>
      <c r="C8" s="218" t="s">
        <v>4</v>
      </c>
      <c r="D8" s="218" t="s">
        <v>95</v>
      </c>
      <c r="E8" s="93" t="s">
        <v>99</v>
      </c>
      <c r="F8" s="235"/>
      <c r="G8" s="219"/>
      <c r="H8" s="220"/>
      <c r="L8" s="101"/>
      <c r="O8" s="187" t="s">
        <v>5</v>
      </c>
      <c r="P8" s="188">
        <f>COUNTIF(C2:C53,"ZAINEB")</f>
        <v>2</v>
      </c>
      <c r="Q8" s="189">
        <f>COUNTIF(D2:D53,"ZAINEB")</f>
        <v>6</v>
      </c>
      <c r="R8" s="192">
        <f>SUM(P8:Q8)</f>
        <v>8</v>
      </c>
    </row>
    <row r="9" spans="1:30" ht="18.75" x14ac:dyDescent="0.25">
      <c r="A9" s="232"/>
      <c r="B9" s="72">
        <v>45941</v>
      </c>
      <c r="C9" s="218" t="s">
        <v>159</v>
      </c>
      <c r="D9" s="218" t="s">
        <v>5</v>
      </c>
      <c r="E9" s="93" t="s">
        <v>99</v>
      </c>
      <c r="F9" s="235"/>
      <c r="G9" s="166" t="s">
        <v>166</v>
      </c>
      <c r="H9" s="166"/>
      <c r="I9" s="166"/>
      <c r="O9" s="177" t="s">
        <v>4</v>
      </c>
      <c r="P9" s="178">
        <f>COUNTIF(C3:C54,"SADJIA")</f>
        <v>7</v>
      </c>
      <c r="Q9" s="179">
        <v>3</v>
      </c>
      <c r="R9" s="193">
        <f t="shared" ref="R9:R13" si="0">SUM(P9:Q9)</f>
        <v>10</v>
      </c>
    </row>
    <row r="10" spans="1:30" ht="18.75" x14ac:dyDescent="0.25">
      <c r="A10" s="232"/>
      <c r="B10" s="76">
        <v>45948</v>
      </c>
      <c r="C10" s="239"/>
      <c r="D10" s="239"/>
      <c r="E10" s="151"/>
      <c r="F10" s="235"/>
      <c r="O10" s="222" t="s">
        <v>130</v>
      </c>
      <c r="P10" s="223">
        <v>10</v>
      </c>
      <c r="Q10" s="224">
        <f>COUNTIF(D4:D55,"EDUARDO")</f>
        <v>2</v>
      </c>
      <c r="R10" s="193">
        <f t="shared" si="0"/>
        <v>12</v>
      </c>
    </row>
    <row r="11" spans="1:30" ht="18.75" x14ac:dyDescent="0.25">
      <c r="A11" s="232"/>
      <c r="B11" s="76">
        <v>45955</v>
      </c>
      <c r="C11" s="239"/>
      <c r="D11" s="239"/>
      <c r="E11" s="151"/>
      <c r="F11" s="235"/>
      <c r="O11" s="177" t="s">
        <v>2</v>
      </c>
      <c r="P11" s="178">
        <v>5</v>
      </c>
      <c r="Q11" s="179">
        <f>COUNTIF(D5:D56,"FRANZISKA")</f>
        <v>5</v>
      </c>
      <c r="R11" s="193">
        <f t="shared" si="0"/>
        <v>10</v>
      </c>
    </row>
    <row r="12" spans="1:30" ht="18.75" x14ac:dyDescent="0.25">
      <c r="A12" s="232"/>
      <c r="B12" s="72">
        <v>45962</v>
      </c>
      <c r="C12" s="92" t="s">
        <v>2</v>
      </c>
      <c r="D12" s="92" t="s">
        <v>95</v>
      </c>
      <c r="E12" s="123" t="s">
        <v>99</v>
      </c>
      <c r="F12" s="235"/>
      <c r="O12" s="183" t="s">
        <v>95</v>
      </c>
      <c r="P12" s="178">
        <v>4</v>
      </c>
      <c r="Q12" s="179">
        <f>COUNTIF(D6:D57,"ALESSIA")</f>
        <v>6</v>
      </c>
      <c r="R12" s="193">
        <f t="shared" si="0"/>
        <v>10</v>
      </c>
    </row>
    <row r="13" spans="1:30" ht="18.75" x14ac:dyDescent="0.25">
      <c r="A13" s="232"/>
      <c r="B13" s="72">
        <v>45969</v>
      </c>
      <c r="C13" s="92" t="s">
        <v>159</v>
      </c>
      <c r="D13" s="92" t="s">
        <v>130</v>
      </c>
      <c r="E13" s="123" t="s">
        <v>99</v>
      </c>
      <c r="F13" s="235"/>
      <c r="O13" s="177" t="s">
        <v>159</v>
      </c>
      <c r="P13" s="178">
        <v>2</v>
      </c>
      <c r="Q13" s="179">
        <v>8</v>
      </c>
      <c r="R13" s="193">
        <f t="shared" si="0"/>
        <v>10</v>
      </c>
    </row>
    <row r="14" spans="1:30" ht="18.75" x14ac:dyDescent="0.25">
      <c r="A14" s="232"/>
      <c r="B14" s="72">
        <v>45976</v>
      </c>
      <c r="C14" s="92" t="s">
        <v>4</v>
      </c>
      <c r="D14" s="92" t="s">
        <v>2</v>
      </c>
      <c r="E14" s="123" t="s">
        <v>99</v>
      </c>
      <c r="F14" s="235"/>
      <c r="O14" s="177"/>
      <c r="P14" s="178"/>
      <c r="Q14" s="179"/>
      <c r="R14" s="193"/>
    </row>
    <row r="15" spans="1:30" ht="19.5" thickBot="1" x14ac:dyDescent="0.3">
      <c r="A15" s="232"/>
      <c r="B15" s="72">
        <v>45983</v>
      </c>
      <c r="C15" s="92" t="s">
        <v>5</v>
      </c>
      <c r="D15" s="92" t="s">
        <v>95</v>
      </c>
      <c r="E15" s="123" t="s">
        <v>99</v>
      </c>
      <c r="F15" s="235"/>
      <c r="O15" s="184" t="s">
        <v>99</v>
      </c>
      <c r="P15" s="185"/>
      <c r="Q15" s="186">
        <v>31</v>
      </c>
      <c r="R15" s="195">
        <v>31</v>
      </c>
    </row>
    <row r="16" spans="1:30" ht="18.75" x14ac:dyDescent="0.25">
      <c r="A16" s="232"/>
      <c r="B16" s="72">
        <v>45990</v>
      </c>
      <c r="C16" s="92" t="s">
        <v>4</v>
      </c>
      <c r="D16" s="92" t="s">
        <v>159</v>
      </c>
      <c r="E16" s="123" t="s">
        <v>99</v>
      </c>
      <c r="F16" s="235"/>
    </row>
    <row r="17" spans="1:22" ht="18.75" x14ac:dyDescent="0.25">
      <c r="A17" s="232"/>
      <c r="B17" s="72">
        <v>45997</v>
      </c>
      <c r="C17" s="92" t="s">
        <v>130</v>
      </c>
      <c r="D17" s="92" t="s">
        <v>95</v>
      </c>
      <c r="E17" s="123" t="s">
        <v>99</v>
      </c>
      <c r="F17" s="235"/>
    </row>
    <row r="18" spans="1:22" ht="18.75" x14ac:dyDescent="0.25">
      <c r="A18" s="232"/>
      <c r="B18" s="72">
        <v>46004</v>
      </c>
      <c r="C18" s="92" t="s">
        <v>2</v>
      </c>
      <c r="D18" s="92" t="s">
        <v>159</v>
      </c>
      <c r="E18" s="123" t="s">
        <v>99</v>
      </c>
      <c r="F18" s="235"/>
    </row>
    <row r="19" spans="1:22" ht="18.75" x14ac:dyDescent="0.25">
      <c r="A19" s="232"/>
      <c r="B19" s="76">
        <v>46011</v>
      </c>
      <c r="C19" s="106"/>
      <c r="D19" s="106"/>
      <c r="E19" s="124"/>
      <c r="F19" s="235"/>
      <c r="J19" s="196"/>
      <c r="O19" s="225" t="s">
        <v>162</v>
      </c>
      <c r="P19" s="226"/>
    </row>
    <row r="20" spans="1:22" ht="18.75" x14ac:dyDescent="0.25">
      <c r="A20" s="232"/>
      <c r="B20" s="76">
        <v>46018</v>
      </c>
      <c r="C20" s="106"/>
      <c r="D20" s="106"/>
      <c r="E20" s="124"/>
      <c r="F20" s="235"/>
      <c r="O20" s="225"/>
      <c r="P20" s="226"/>
    </row>
    <row r="21" spans="1:22" ht="18.75" x14ac:dyDescent="0.25">
      <c r="A21" s="232"/>
      <c r="B21" s="76">
        <v>46025</v>
      </c>
      <c r="C21" s="106"/>
      <c r="D21" s="106"/>
      <c r="E21" s="124"/>
      <c r="F21" s="235"/>
      <c r="O21" s="225"/>
      <c r="P21" s="226"/>
    </row>
    <row r="22" spans="1:22" ht="18.75" x14ac:dyDescent="0.25">
      <c r="A22" s="232"/>
      <c r="B22" s="72">
        <v>46032</v>
      </c>
      <c r="C22" s="92" t="s">
        <v>130</v>
      </c>
      <c r="D22" s="92" t="s">
        <v>4</v>
      </c>
      <c r="E22" s="123" t="s">
        <v>99</v>
      </c>
      <c r="F22" s="235"/>
    </row>
    <row r="23" spans="1:22" ht="18.75" x14ac:dyDescent="0.25">
      <c r="A23" s="232"/>
      <c r="B23" s="72">
        <v>46039</v>
      </c>
      <c r="C23" s="92" t="s">
        <v>4</v>
      </c>
      <c r="D23" s="92" t="s">
        <v>130</v>
      </c>
      <c r="E23" s="123" t="s">
        <v>99</v>
      </c>
      <c r="F23" s="235"/>
    </row>
    <row r="24" spans="1:22" ht="18.75" x14ac:dyDescent="0.25">
      <c r="A24" s="232"/>
      <c r="B24" s="72">
        <v>46046</v>
      </c>
      <c r="C24" s="92" t="s">
        <v>2</v>
      </c>
      <c r="D24" s="92" t="s">
        <v>95</v>
      </c>
      <c r="E24" s="123" t="s">
        <v>99</v>
      </c>
      <c r="F24" s="235"/>
    </row>
    <row r="25" spans="1:22" ht="26.25" x14ac:dyDescent="0.4">
      <c r="A25" s="232"/>
      <c r="B25" s="72">
        <v>46053</v>
      </c>
      <c r="C25" s="92" t="s">
        <v>5</v>
      </c>
      <c r="D25" s="92" t="s">
        <v>159</v>
      </c>
      <c r="E25" s="123" t="s">
        <v>99</v>
      </c>
      <c r="F25" s="235"/>
      <c r="K25" s="221" t="s">
        <v>164</v>
      </c>
      <c r="L25" s="204"/>
      <c r="M25" s="204"/>
      <c r="N25" s="204"/>
      <c r="O25" s="204"/>
      <c r="P25" s="204"/>
      <c r="Q25" s="204"/>
      <c r="R25" s="204"/>
      <c r="S25" s="204"/>
      <c r="T25" s="204"/>
      <c r="U25" s="204"/>
      <c r="V25" s="204"/>
    </row>
    <row r="26" spans="1:22" ht="18.75" x14ac:dyDescent="0.25">
      <c r="A26" s="232"/>
      <c r="B26" s="72">
        <v>46060</v>
      </c>
      <c r="C26" s="92" t="s">
        <v>130</v>
      </c>
      <c r="D26" s="92" t="s">
        <v>4</v>
      </c>
      <c r="E26" s="123" t="s">
        <v>99</v>
      </c>
      <c r="F26" s="235"/>
    </row>
    <row r="27" spans="1:22" ht="18.75" x14ac:dyDescent="0.25">
      <c r="A27" s="232"/>
      <c r="B27" s="72">
        <v>46067</v>
      </c>
      <c r="C27" s="92" t="s">
        <v>2</v>
      </c>
      <c r="D27" s="92" t="s">
        <v>159</v>
      </c>
      <c r="E27" s="123" t="s">
        <v>99</v>
      </c>
      <c r="F27" s="235"/>
    </row>
    <row r="28" spans="1:22" ht="18.75" x14ac:dyDescent="0.25">
      <c r="A28" s="232"/>
      <c r="B28" s="76">
        <v>46074</v>
      </c>
      <c r="C28" s="106"/>
      <c r="D28" s="106"/>
      <c r="E28" s="124"/>
      <c r="F28" s="235"/>
    </row>
    <row r="29" spans="1:22" ht="18.75" x14ac:dyDescent="0.25">
      <c r="A29" s="232"/>
      <c r="B29" s="76">
        <v>46081</v>
      </c>
      <c r="C29" s="106"/>
      <c r="D29" s="106"/>
      <c r="E29" s="124"/>
      <c r="F29" s="235"/>
    </row>
    <row r="30" spans="1:22" ht="18.75" x14ac:dyDescent="0.25">
      <c r="A30" s="232"/>
      <c r="B30" s="72">
        <v>46088</v>
      </c>
      <c r="C30" s="92" t="s">
        <v>95</v>
      </c>
      <c r="D30" s="92" t="s">
        <v>159</v>
      </c>
      <c r="E30" s="123" t="s">
        <v>99</v>
      </c>
      <c r="F30" s="235"/>
    </row>
    <row r="31" spans="1:22" ht="18.75" x14ac:dyDescent="0.25">
      <c r="A31" s="232"/>
      <c r="B31" s="72">
        <v>46095</v>
      </c>
      <c r="C31" s="92" t="s">
        <v>4</v>
      </c>
      <c r="D31" s="92" t="s">
        <v>2</v>
      </c>
      <c r="E31" s="123" t="s">
        <v>99</v>
      </c>
      <c r="F31" s="235"/>
    </row>
    <row r="32" spans="1:22" ht="18.75" x14ac:dyDescent="0.25">
      <c r="A32" s="232"/>
      <c r="B32" s="72">
        <v>46102</v>
      </c>
      <c r="C32" s="92" t="s">
        <v>2</v>
      </c>
      <c r="D32" s="92" t="s">
        <v>159</v>
      </c>
      <c r="E32" s="123" t="s">
        <v>99</v>
      </c>
      <c r="F32" s="235"/>
    </row>
    <row r="33" spans="1:27" ht="18.75" x14ac:dyDescent="0.25">
      <c r="A33" s="232"/>
      <c r="B33" s="72">
        <v>46109</v>
      </c>
      <c r="C33" s="92" t="s">
        <v>95</v>
      </c>
      <c r="D33" s="92" t="s">
        <v>5</v>
      </c>
      <c r="E33" s="123" t="s">
        <v>99</v>
      </c>
      <c r="F33" s="235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8.75" x14ac:dyDescent="0.25">
      <c r="A34" s="232"/>
      <c r="B34" s="76">
        <v>46116</v>
      </c>
      <c r="C34" s="106"/>
      <c r="D34" s="106"/>
      <c r="E34" s="124"/>
      <c r="F34" s="235"/>
    </row>
    <row r="35" spans="1:27" ht="18.75" x14ac:dyDescent="0.3">
      <c r="A35" s="232"/>
      <c r="B35" s="76">
        <v>46123</v>
      </c>
      <c r="C35" s="106"/>
      <c r="D35" s="168"/>
      <c r="E35" s="124"/>
      <c r="F35" s="235"/>
    </row>
    <row r="36" spans="1:27" ht="18.75" x14ac:dyDescent="0.25">
      <c r="A36" s="232"/>
      <c r="B36" s="76">
        <v>46130</v>
      </c>
      <c r="C36" s="106"/>
      <c r="D36" s="106"/>
      <c r="E36" s="151"/>
      <c r="F36" s="235"/>
    </row>
    <row r="37" spans="1:27" ht="18.75" x14ac:dyDescent="0.25">
      <c r="A37" s="232"/>
      <c r="B37" s="72">
        <v>46137</v>
      </c>
      <c r="C37" s="59" t="s">
        <v>130</v>
      </c>
      <c r="D37" s="92" t="s">
        <v>2</v>
      </c>
      <c r="E37" s="123" t="s">
        <v>99</v>
      </c>
      <c r="F37" s="235"/>
    </row>
    <row r="38" spans="1:27" ht="18.75" x14ac:dyDescent="0.25">
      <c r="A38" s="232"/>
      <c r="B38" s="76">
        <v>46144</v>
      </c>
      <c r="C38" s="106"/>
      <c r="D38" s="106"/>
      <c r="E38" s="151"/>
      <c r="F38" s="235"/>
    </row>
    <row r="39" spans="1:27" ht="18.75" x14ac:dyDescent="0.25">
      <c r="A39" s="232"/>
      <c r="B39" s="72">
        <v>46151</v>
      </c>
      <c r="C39" s="59" t="s">
        <v>95</v>
      </c>
      <c r="D39" s="92" t="s">
        <v>159</v>
      </c>
      <c r="E39" s="123" t="s">
        <v>99</v>
      </c>
      <c r="F39" s="235"/>
    </row>
    <row r="40" spans="1:27" ht="18.75" x14ac:dyDescent="0.25">
      <c r="A40" s="232"/>
      <c r="B40" s="76">
        <v>46158</v>
      </c>
      <c r="C40" s="106"/>
      <c r="D40" s="106"/>
      <c r="E40" s="151"/>
      <c r="F40" s="235"/>
    </row>
    <row r="41" spans="1:27" ht="18.75" x14ac:dyDescent="0.25">
      <c r="A41" s="232"/>
      <c r="B41" s="72">
        <v>46165</v>
      </c>
      <c r="C41" s="92" t="s">
        <v>4</v>
      </c>
      <c r="D41" s="92" t="s">
        <v>5</v>
      </c>
      <c r="E41" s="123" t="s">
        <v>99</v>
      </c>
      <c r="F41" s="235"/>
    </row>
    <row r="42" spans="1:27" ht="18.75" x14ac:dyDescent="0.25">
      <c r="A42" s="232"/>
      <c r="B42" s="72">
        <v>46172</v>
      </c>
      <c r="C42" s="92" t="s">
        <v>130</v>
      </c>
      <c r="D42" s="92" t="s">
        <v>95</v>
      </c>
      <c r="E42" s="123" t="s">
        <v>99</v>
      </c>
      <c r="F42" s="235"/>
    </row>
    <row r="43" spans="1:27" ht="18.75" x14ac:dyDescent="0.25">
      <c r="A43" s="232"/>
      <c r="B43" s="72">
        <v>46179</v>
      </c>
      <c r="C43" s="111" t="s">
        <v>2</v>
      </c>
      <c r="D43" s="111" t="s">
        <v>159</v>
      </c>
      <c r="E43" s="123" t="s">
        <v>99</v>
      </c>
      <c r="F43" s="235"/>
    </row>
    <row r="44" spans="1:27" ht="18.75" x14ac:dyDescent="0.25">
      <c r="A44" s="232"/>
      <c r="B44" s="72">
        <v>46186</v>
      </c>
      <c r="C44" s="111" t="s">
        <v>4</v>
      </c>
      <c r="D44" s="111" t="s">
        <v>5</v>
      </c>
      <c r="E44" s="123" t="s">
        <v>99</v>
      </c>
      <c r="F44" s="235"/>
    </row>
    <row r="45" spans="1:27" ht="18.75" x14ac:dyDescent="0.25">
      <c r="A45" s="232"/>
      <c r="B45" s="72">
        <v>46193</v>
      </c>
      <c r="C45" s="111" t="s">
        <v>130</v>
      </c>
      <c r="D45" s="111" t="s">
        <v>2</v>
      </c>
      <c r="E45" s="123" t="s">
        <v>99</v>
      </c>
      <c r="F45" s="235"/>
    </row>
    <row r="46" spans="1:27" ht="18.75" x14ac:dyDescent="0.25">
      <c r="A46" s="232"/>
      <c r="B46" s="76">
        <v>46200</v>
      </c>
      <c r="C46" s="240" t="s">
        <v>161</v>
      </c>
      <c r="D46" s="241"/>
      <c r="E46" s="241"/>
      <c r="F46" s="235"/>
    </row>
    <row r="47" spans="1:27" ht="18.75" x14ac:dyDescent="0.25">
      <c r="A47" s="232"/>
      <c r="B47" s="76">
        <v>46207</v>
      </c>
      <c r="C47" s="242"/>
      <c r="D47" s="243"/>
      <c r="E47" s="243"/>
      <c r="F47" s="235"/>
    </row>
    <row r="48" spans="1:27" ht="18.75" x14ac:dyDescent="0.25">
      <c r="A48" s="232"/>
      <c r="B48" s="76">
        <v>46214</v>
      </c>
      <c r="C48" s="242"/>
      <c r="D48" s="243"/>
      <c r="E48" s="243"/>
      <c r="F48" s="235"/>
    </row>
    <row r="49" spans="1:6" ht="18.75" x14ac:dyDescent="0.25">
      <c r="A49" s="232"/>
      <c r="B49" s="76">
        <v>46221</v>
      </c>
      <c r="C49" s="242"/>
      <c r="D49" s="243"/>
      <c r="E49" s="243"/>
      <c r="F49" s="235"/>
    </row>
    <row r="50" spans="1:6" ht="18.75" x14ac:dyDescent="0.25">
      <c r="A50" s="232"/>
      <c r="B50" s="76">
        <v>46228</v>
      </c>
      <c r="C50" s="242"/>
      <c r="D50" s="243"/>
      <c r="E50" s="243"/>
      <c r="F50" s="235"/>
    </row>
    <row r="51" spans="1:6" ht="18.75" x14ac:dyDescent="0.25">
      <c r="A51" s="232"/>
      <c r="B51" s="76">
        <v>46235</v>
      </c>
      <c r="C51" s="242"/>
      <c r="D51" s="243"/>
      <c r="E51" s="243"/>
      <c r="F51" s="235"/>
    </row>
    <row r="52" spans="1:6" ht="18.75" x14ac:dyDescent="0.25">
      <c r="A52" s="232"/>
      <c r="B52" s="76">
        <v>46242</v>
      </c>
      <c r="C52" s="244"/>
      <c r="D52" s="245"/>
      <c r="E52" s="245"/>
      <c r="F52" s="235"/>
    </row>
    <row r="53" spans="1:6" ht="18.75" x14ac:dyDescent="0.25">
      <c r="A53" s="232"/>
      <c r="B53" s="72">
        <v>46249</v>
      </c>
      <c r="C53" s="229" t="s">
        <v>163</v>
      </c>
      <c r="D53" s="230"/>
      <c r="E53" s="230"/>
      <c r="F53" s="235"/>
    </row>
    <row r="54" spans="1:6" ht="15.75" thickBot="1" x14ac:dyDescent="0.3">
      <c r="A54" s="233"/>
      <c r="B54" s="212"/>
      <c r="C54" s="212"/>
      <c r="D54" s="212"/>
      <c r="E54" s="212"/>
      <c r="F54" s="236"/>
    </row>
  </sheetData>
  <mergeCells count="10">
    <mergeCell ref="R4:AD5"/>
    <mergeCell ref="O19:P21"/>
    <mergeCell ref="C1:E1"/>
    <mergeCell ref="C53:E53"/>
    <mergeCell ref="A1:A54"/>
    <mergeCell ref="F1:F54"/>
    <mergeCell ref="C7:E7"/>
    <mergeCell ref="C10:D10"/>
    <mergeCell ref="C11:D11"/>
    <mergeCell ref="C46:E52"/>
  </mergeCells>
  <pageMargins left="0.25" right="0.25" top="0.75" bottom="0.75" header="0.3" footer="0.3"/>
  <pageSetup paperSize="9" scale="4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D3481-6000-4E7A-A475-73D908D50585}">
  <sheetPr>
    <pageSetUpPr fitToPage="1"/>
  </sheetPr>
  <dimension ref="A1:X45"/>
  <sheetViews>
    <sheetView topLeftCell="A25" zoomScale="80" zoomScaleNormal="80" workbookViewId="0">
      <selection activeCell="J48" sqref="J48:K48"/>
    </sheetView>
  </sheetViews>
  <sheetFormatPr baseColWidth="10" defaultRowHeight="15" x14ac:dyDescent="0.25"/>
  <cols>
    <col min="1" max="1" width="1.28515625" customWidth="1"/>
    <col min="2" max="2" width="15.28515625" customWidth="1"/>
    <col min="4" max="4" width="13.5703125" customWidth="1"/>
    <col min="5" max="5" width="16.7109375" customWidth="1"/>
    <col min="6" max="6" width="2.140625" customWidth="1"/>
    <col min="10" max="10" width="8" customWidth="1"/>
    <col min="11" max="11" width="9.7109375" customWidth="1"/>
    <col min="12" max="12" width="5" customWidth="1"/>
    <col min="14" max="14" width="2" customWidth="1"/>
    <col min="15" max="15" width="15.7109375" customWidth="1"/>
    <col min="18" max="18" width="12" customWidth="1"/>
    <col min="19" max="19" width="1.5703125" customWidth="1"/>
  </cols>
  <sheetData>
    <row r="1" spans="1:24" x14ac:dyDescent="0.25">
      <c r="A1" s="231"/>
      <c r="B1" s="70" t="s">
        <v>11</v>
      </c>
      <c r="C1" s="246" t="s">
        <v>12</v>
      </c>
      <c r="D1" s="246"/>
      <c r="E1" s="91"/>
      <c r="F1" s="234"/>
      <c r="N1" s="159"/>
      <c r="O1" s="70" t="s">
        <v>11</v>
      </c>
      <c r="P1" s="246" t="s">
        <v>12</v>
      </c>
      <c r="Q1" s="246"/>
      <c r="R1" s="91"/>
      <c r="S1" s="161"/>
    </row>
    <row r="2" spans="1:24" ht="26.25" x14ac:dyDescent="0.4">
      <c r="A2" s="232"/>
      <c r="B2" s="72">
        <v>45542</v>
      </c>
      <c r="C2" s="92" t="s">
        <v>2</v>
      </c>
      <c r="D2" s="92" t="s">
        <v>4</v>
      </c>
      <c r="E2" s="93" t="s">
        <v>142</v>
      </c>
      <c r="F2" s="235"/>
      <c r="G2" s="94" t="s">
        <v>102</v>
      </c>
      <c r="N2" s="160"/>
      <c r="O2" s="72">
        <v>45549</v>
      </c>
      <c r="P2" s="59" t="s">
        <v>2</v>
      </c>
      <c r="Q2" s="92" t="s">
        <v>130</v>
      </c>
      <c r="R2" s="205" t="s">
        <v>4</v>
      </c>
      <c r="S2" s="162"/>
      <c r="T2" s="164" t="s">
        <v>135</v>
      </c>
    </row>
    <row r="3" spans="1:24" ht="18.75" x14ac:dyDescent="0.25">
      <c r="A3" s="232"/>
      <c r="B3" s="72">
        <v>45549</v>
      </c>
      <c r="C3" s="169" t="s">
        <v>130</v>
      </c>
      <c r="D3" s="92" t="s">
        <v>5</v>
      </c>
      <c r="E3" s="93" t="s">
        <v>99</v>
      </c>
      <c r="F3" s="235"/>
      <c r="N3" s="160"/>
      <c r="O3" s="72">
        <v>45577</v>
      </c>
      <c r="P3" s="92" t="s">
        <v>4</v>
      </c>
      <c r="Q3" s="93" t="s">
        <v>5</v>
      </c>
      <c r="R3" s="93" t="s">
        <v>130</v>
      </c>
      <c r="S3" s="162"/>
    </row>
    <row r="4" spans="1:24" ht="26.25" x14ac:dyDescent="0.4">
      <c r="A4" s="232"/>
      <c r="B4" s="72">
        <v>45556</v>
      </c>
      <c r="C4" s="69" t="s">
        <v>95</v>
      </c>
      <c r="D4" s="92" t="s">
        <v>4</v>
      </c>
      <c r="E4" s="93" t="s">
        <v>2</v>
      </c>
      <c r="F4" s="235"/>
      <c r="G4" s="95" t="s">
        <v>103</v>
      </c>
      <c r="N4" s="160"/>
      <c r="O4" s="72">
        <v>45598</v>
      </c>
      <c r="P4" s="93" t="s">
        <v>130</v>
      </c>
      <c r="Q4" s="93" t="s">
        <v>4</v>
      </c>
      <c r="R4" s="59" t="s">
        <v>2</v>
      </c>
      <c r="S4" s="162"/>
      <c r="U4" s="165" t="s">
        <v>136</v>
      </c>
    </row>
    <row r="5" spans="1:24" ht="18.75" x14ac:dyDescent="0.25">
      <c r="A5" s="232"/>
      <c r="B5" s="149">
        <v>45563</v>
      </c>
      <c r="C5" s="237" t="s">
        <v>105</v>
      </c>
      <c r="D5" s="238"/>
      <c r="E5" s="238"/>
      <c r="F5" s="235"/>
      <c r="G5" s="96"/>
      <c r="N5" s="160"/>
      <c r="O5" s="72">
        <v>45633</v>
      </c>
      <c r="P5" s="93" t="s">
        <v>4</v>
      </c>
      <c r="Q5" s="59" t="s">
        <v>2</v>
      </c>
      <c r="R5" s="93" t="s">
        <v>5</v>
      </c>
      <c r="S5" s="162"/>
      <c r="U5" s="166" t="s">
        <v>137</v>
      </c>
      <c r="V5" s="166"/>
    </row>
    <row r="6" spans="1:24" ht="19.5" thickBot="1" x14ac:dyDescent="0.35">
      <c r="A6" s="232"/>
      <c r="B6" s="170">
        <v>45570</v>
      </c>
      <c r="C6" s="123" t="s">
        <v>95</v>
      </c>
      <c r="D6" s="206" t="s">
        <v>153</v>
      </c>
      <c r="E6" s="206" t="s">
        <v>99</v>
      </c>
      <c r="F6" s="235"/>
      <c r="G6" s="173"/>
      <c r="H6" s="30"/>
      <c r="N6" s="160"/>
      <c r="O6" s="163"/>
      <c r="P6" s="163"/>
      <c r="Q6" s="163"/>
      <c r="R6" s="163"/>
      <c r="S6" s="162"/>
    </row>
    <row r="7" spans="1:24" ht="18.75" x14ac:dyDescent="0.25">
      <c r="A7" s="232"/>
      <c r="B7" s="72">
        <v>45577</v>
      </c>
      <c r="C7" s="92" t="s">
        <v>5</v>
      </c>
      <c r="D7" s="92" t="s">
        <v>117</v>
      </c>
      <c r="E7" s="93" t="s">
        <v>99</v>
      </c>
      <c r="F7" s="235"/>
    </row>
    <row r="8" spans="1:24" ht="18.75" x14ac:dyDescent="0.3">
      <c r="A8" s="232"/>
      <c r="B8" s="174">
        <v>45584</v>
      </c>
      <c r="C8" s="247" t="s">
        <v>139</v>
      </c>
      <c r="D8" s="248"/>
      <c r="E8" s="248"/>
      <c r="F8" s="235"/>
      <c r="G8" s="249" t="s">
        <v>141</v>
      </c>
      <c r="H8" s="250"/>
      <c r="L8" s="101"/>
    </row>
    <row r="9" spans="1:24" ht="18.75" x14ac:dyDescent="0.25">
      <c r="A9" s="232"/>
      <c r="B9" s="76">
        <v>45591</v>
      </c>
      <c r="C9" s="239"/>
      <c r="D9" s="239"/>
      <c r="E9" s="151"/>
      <c r="F9" s="235"/>
      <c r="O9" s="203" t="s">
        <v>152</v>
      </c>
      <c r="P9" s="204"/>
      <c r="Q9" s="204"/>
      <c r="R9" s="204"/>
      <c r="S9" s="204"/>
      <c r="T9" s="204"/>
      <c r="U9" s="204"/>
      <c r="V9" s="204"/>
      <c r="W9" s="204"/>
      <c r="X9" s="204"/>
    </row>
    <row r="10" spans="1:24" ht="18.75" x14ac:dyDescent="0.25">
      <c r="A10" s="232"/>
      <c r="B10" s="72">
        <v>45598</v>
      </c>
      <c r="C10" s="92" t="s">
        <v>2</v>
      </c>
      <c r="D10" s="92" t="s">
        <v>95</v>
      </c>
      <c r="E10" s="93" t="s">
        <v>99</v>
      </c>
      <c r="F10" s="235"/>
    </row>
    <row r="11" spans="1:24" ht="18.75" x14ac:dyDescent="0.25">
      <c r="A11" s="232"/>
      <c r="B11" s="72">
        <v>45605</v>
      </c>
      <c r="C11" s="208" t="s">
        <v>5</v>
      </c>
      <c r="D11" s="92" t="s">
        <v>4</v>
      </c>
      <c r="E11" s="93" t="s">
        <v>99</v>
      </c>
      <c r="F11" s="235"/>
    </row>
    <row r="12" spans="1:24" ht="18.75" x14ac:dyDescent="0.25">
      <c r="A12" s="232"/>
      <c r="B12" s="72">
        <v>45612</v>
      </c>
      <c r="C12" s="208" t="s">
        <v>2</v>
      </c>
      <c r="D12" s="92" t="s">
        <v>5</v>
      </c>
      <c r="E12" s="123" t="s">
        <v>99</v>
      </c>
      <c r="F12" s="235"/>
      <c r="G12" s="209" t="s">
        <v>155</v>
      </c>
      <c r="H12" t="s">
        <v>154</v>
      </c>
    </row>
    <row r="13" spans="1:24" ht="18.75" x14ac:dyDescent="0.25">
      <c r="A13" s="232"/>
      <c r="B13" s="72">
        <v>45619</v>
      </c>
      <c r="C13" s="92" t="s">
        <v>2</v>
      </c>
      <c r="D13" s="169" t="s">
        <v>130</v>
      </c>
      <c r="E13" s="123" t="s">
        <v>99</v>
      </c>
      <c r="F13" s="235"/>
    </row>
    <row r="14" spans="1:24" ht="18.75" x14ac:dyDescent="0.25">
      <c r="A14" s="232"/>
      <c r="B14" s="72">
        <v>45626</v>
      </c>
      <c r="C14" s="208" t="s">
        <v>4</v>
      </c>
      <c r="D14" s="92" t="s">
        <v>95</v>
      </c>
      <c r="E14" s="123" t="s">
        <v>99</v>
      </c>
      <c r="F14" s="235"/>
      <c r="O14" s="100" t="s">
        <v>115</v>
      </c>
    </row>
    <row r="15" spans="1:24" ht="18.75" x14ac:dyDescent="0.25">
      <c r="A15" s="232"/>
      <c r="B15" s="72">
        <v>45633</v>
      </c>
      <c r="C15" s="92" t="s">
        <v>5</v>
      </c>
      <c r="D15" s="92" t="s">
        <v>4</v>
      </c>
      <c r="E15" s="123" t="s">
        <v>99</v>
      </c>
      <c r="F15" s="235"/>
      <c r="O15" s="100" t="s">
        <v>116</v>
      </c>
    </row>
    <row r="16" spans="1:24" ht="18.75" x14ac:dyDescent="0.25">
      <c r="A16" s="232"/>
      <c r="B16" s="72">
        <v>45640</v>
      </c>
      <c r="C16" s="208" t="s">
        <v>5</v>
      </c>
      <c r="D16" s="92" t="s">
        <v>2</v>
      </c>
      <c r="E16" s="123" t="s">
        <v>99</v>
      </c>
      <c r="F16" s="235"/>
    </row>
    <row r="17" spans="1:18" ht="18.75" x14ac:dyDescent="0.25">
      <c r="A17" s="232"/>
      <c r="B17" s="76">
        <v>45647</v>
      </c>
      <c r="C17" s="106"/>
      <c r="D17" s="106"/>
      <c r="E17" s="124"/>
      <c r="F17" s="235"/>
      <c r="O17" s="98" t="s">
        <v>106</v>
      </c>
    </row>
    <row r="18" spans="1:18" ht="19.5" thickBot="1" x14ac:dyDescent="0.3">
      <c r="A18" s="232"/>
      <c r="B18" s="76">
        <v>45654</v>
      </c>
      <c r="C18" s="106"/>
      <c r="D18" s="106"/>
      <c r="E18" s="124"/>
      <c r="F18" s="235"/>
      <c r="O18" s="100"/>
      <c r="P18" s="101"/>
    </row>
    <row r="19" spans="1:18" ht="19.5" thickBot="1" x14ac:dyDescent="0.3">
      <c r="A19" s="232"/>
      <c r="B19" s="76">
        <v>45661</v>
      </c>
      <c r="C19" s="106"/>
      <c r="D19" s="106"/>
      <c r="E19" s="124"/>
      <c r="F19" s="235"/>
      <c r="O19" s="190"/>
      <c r="P19" s="190"/>
      <c r="Q19" s="191"/>
      <c r="R19" s="176" t="s">
        <v>140</v>
      </c>
    </row>
    <row r="20" spans="1:18" ht="18.75" x14ac:dyDescent="0.25">
      <c r="A20" s="232"/>
      <c r="B20" s="72">
        <v>45668</v>
      </c>
      <c r="C20" s="169" t="s">
        <v>130</v>
      </c>
      <c r="D20" s="92" t="s">
        <v>4</v>
      </c>
      <c r="E20" s="123" t="s">
        <v>99</v>
      </c>
      <c r="F20" s="235"/>
      <c r="O20" s="187" t="s">
        <v>5</v>
      </c>
      <c r="P20" s="188">
        <f>COUNTIF(C2:C44,"ZAINEB")</f>
        <v>8</v>
      </c>
      <c r="Q20" s="189">
        <f>COUNTIF(D2:D44,"ZAINEB")</f>
        <v>4</v>
      </c>
      <c r="R20" s="192">
        <f>SUM(P20:Q20)</f>
        <v>12</v>
      </c>
    </row>
    <row r="21" spans="1:18" ht="18.75" x14ac:dyDescent="0.25">
      <c r="A21" s="232"/>
      <c r="B21" s="72">
        <v>45675</v>
      </c>
      <c r="C21" s="92" t="s">
        <v>2</v>
      </c>
      <c r="D21" s="75" t="s">
        <v>5</v>
      </c>
      <c r="E21" s="123" t="s">
        <v>99</v>
      </c>
      <c r="F21" s="235"/>
      <c r="O21" s="177" t="s">
        <v>4</v>
      </c>
      <c r="P21" s="178">
        <f>COUNTIF(C3:C45,"SADJIA")</f>
        <v>4</v>
      </c>
      <c r="Q21" s="179">
        <f>COUNTIF(D3:D45,"SADJIA")</f>
        <v>7</v>
      </c>
      <c r="R21" s="193">
        <f t="shared" ref="R21:R27" si="0">SUM(P21:Q21)</f>
        <v>11</v>
      </c>
    </row>
    <row r="22" spans="1:18" ht="18.75" x14ac:dyDescent="0.25">
      <c r="A22" s="232"/>
      <c r="B22" s="72">
        <v>45682</v>
      </c>
      <c r="C22" s="208" t="s">
        <v>2</v>
      </c>
      <c r="D22" s="92" t="s">
        <v>4</v>
      </c>
      <c r="E22" s="123" t="s">
        <v>99</v>
      </c>
      <c r="F22" s="235"/>
      <c r="O22" s="180" t="s">
        <v>130</v>
      </c>
      <c r="P22" s="181">
        <f>COUNTIF(C3:C46,"EDUARDO")</f>
        <v>2</v>
      </c>
      <c r="Q22" s="182">
        <f>COUNTIF(D4:D46,"EDUARDO")</f>
        <v>1</v>
      </c>
      <c r="R22" s="194">
        <f t="shared" si="0"/>
        <v>3</v>
      </c>
    </row>
    <row r="23" spans="1:18" ht="18.75" x14ac:dyDescent="0.25">
      <c r="A23" s="232"/>
      <c r="B23" s="72">
        <v>45689</v>
      </c>
      <c r="C23" s="167" t="s">
        <v>157</v>
      </c>
      <c r="D23" s="92" t="s">
        <v>95</v>
      </c>
      <c r="E23" s="210" t="s">
        <v>2</v>
      </c>
      <c r="F23" s="235"/>
      <c r="G23" s="211" t="s">
        <v>156</v>
      </c>
      <c r="H23" s="211"/>
      <c r="I23" s="211"/>
      <c r="O23" s="177" t="s">
        <v>2</v>
      </c>
      <c r="P23" s="178">
        <f>COUNTIF(C5:C47,"FRANZISKA")</f>
        <v>7</v>
      </c>
      <c r="Q23" s="179">
        <f>COUNTIF(D5:D47,"FRANZISKA")</f>
        <v>5</v>
      </c>
      <c r="R23" s="193">
        <f t="shared" si="0"/>
        <v>12</v>
      </c>
    </row>
    <row r="24" spans="1:18" ht="18.75" x14ac:dyDescent="0.3">
      <c r="A24" s="232"/>
      <c r="B24" s="72">
        <v>45696</v>
      </c>
      <c r="C24" s="175" t="s">
        <v>2</v>
      </c>
      <c r="D24" s="92" t="s">
        <v>158</v>
      </c>
      <c r="E24" s="210" t="s">
        <v>4</v>
      </c>
      <c r="F24" s="235"/>
      <c r="O24" s="183" t="s">
        <v>95</v>
      </c>
      <c r="P24" s="178">
        <v>5</v>
      </c>
      <c r="Q24" s="179">
        <f>COUNTIF(D6:D48,"ALESSIA")</f>
        <v>7</v>
      </c>
      <c r="R24" s="193">
        <f t="shared" si="0"/>
        <v>12</v>
      </c>
    </row>
    <row r="25" spans="1:18" ht="18.75" x14ac:dyDescent="0.25">
      <c r="A25" s="232"/>
      <c r="B25" s="72">
        <v>45703</v>
      </c>
      <c r="C25" s="92" t="s">
        <v>159</v>
      </c>
      <c r="D25" s="92" t="s">
        <v>95</v>
      </c>
      <c r="E25" s="123" t="s">
        <v>99</v>
      </c>
      <c r="F25" s="235"/>
      <c r="O25" s="177" t="s">
        <v>117</v>
      </c>
      <c r="P25" s="178">
        <f>COUNTIF(C7:C49,"Y")</f>
        <v>0</v>
      </c>
      <c r="Q25" s="179">
        <f>COUNTIF(D7:D49,"X")</f>
        <v>1</v>
      </c>
      <c r="R25" s="193">
        <f t="shared" si="0"/>
        <v>1</v>
      </c>
    </row>
    <row r="26" spans="1:18" ht="18.75" x14ac:dyDescent="0.25">
      <c r="A26" s="232"/>
      <c r="B26" s="76">
        <v>45710</v>
      </c>
      <c r="C26" s="106"/>
      <c r="D26" s="106"/>
      <c r="E26" s="124"/>
      <c r="F26" s="235"/>
      <c r="O26" s="177" t="s">
        <v>138</v>
      </c>
      <c r="P26" s="178">
        <f>COUNTIF(C8:C50,"X")</f>
        <v>0</v>
      </c>
      <c r="Q26" s="179">
        <f>COUNTIF(D8:D50,"Y")</f>
        <v>0</v>
      </c>
      <c r="R26" s="193">
        <f t="shared" si="0"/>
        <v>0</v>
      </c>
    </row>
    <row r="27" spans="1:18" ht="19.5" thickBot="1" x14ac:dyDescent="0.3">
      <c r="A27" s="232"/>
      <c r="B27" s="76">
        <v>45717</v>
      </c>
      <c r="C27" s="106"/>
      <c r="D27" s="106"/>
      <c r="E27" s="124"/>
      <c r="F27" s="235"/>
      <c r="O27" s="184" t="s">
        <v>99</v>
      </c>
      <c r="P27" s="185"/>
      <c r="Q27" s="186">
        <v>32</v>
      </c>
      <c r="R27" s="195">
        <f t="shared" si="0"/>
        <v>32</v>
      </c>
    </row>
    <row r="28" spans="1:18" ht="18.75" x14ac:dyDescent="0.25">
      <c r="A28" s="232"/>
      <c r="B28" s="72">
        <v>45724</v>
      </c>
      <c r="C28" s="92" t="s">
        <v>159</v>
      </c>
      <c r="D28" s="92" t="s">
        <v>5</v>
      </c>
      <c r="E28" s="123" t="s">
        <v>99</v>
      </c>
      <c r="F28" s="235"/>
    </row>
    <row r="29" spans="1:18" ht="18.75" x14ac:dyDescent="0.25">
      <c r="A29" s="232"/>
      <c r="B29" s="72">
        <v>45731</v>
      </c>
      <c r="C29" s="169" t="s">
        <v>5</v>
      </c>
      <c r="D29" s="92" t="s">
        <v>4</v>
      </c>
      <c r="E29" s="123" t="s">
        <v>99</v>
      </c>
      <c r="F29" s="235"/>
    </row>
    <row r="30" spans="1:18" ht="18.75" x14ac:dyDescent="0.25">
      <c r="A30" s="232"/>
      <c r="B30" s="72">
        <v>45738</v>
      </c>
      <c r="C30" s="92" t="s">
        <v>158</v>
      </c>
      <c r="D30" s="92" t="s">
        <v>2</v>
      </c>
      <c r="E30" s="123" t="s">
        <v>99</v>
      </c>
      <c r="F30" s="235"/>
      <c r="G30" s="197"/>
      <c r="O30" s="196" t="s">
        <v>143</v>
      </c>
    </row>
    <row r="31" spans="1:18" ht="18.75" x14ac:dyDescent="0.25">
      <c r="A31" s="232"/>
      <c r="B31" s="72">
        <v>45745</v>
      </c>
      <c r="C31" s="92" t="s">
        <v>5</v>
      </c>
      <c r="D31" s="92" t="s">
        <v>95</v>
      </c>
      <c r="E31" s="123" t="s">
        <v>99</v>
      </c>
      <c r="F31" s="235"/>
      <c r="O31" s="196" t="s">
        <v>151</v>
      </c>
    </row>
    <row r="32" spans="1:18" ht="18.75" x14ac:dyDescent="0.25">
      <c r="A32" s="232"/>
      <c r="B32" s="72">
        <v>45752</v>
      </c>
      <c r="C32" s="92" t="s">
        <v>4</v>
      </c>
      <c r="D32" s="92" t="s">
        <v>159</v>
      </c>
      <c r="E32" s="123" t="s">
        <v>99</v>
      </c>
      <c r="F32" s="235"/>
    </row>
    <row r="33" spans="1:20" ht="18.75" x14ac:dyDescent="0.25">
      <c r="A33" s="232"/>
      <c r="B33" s="72">
        <v>45759</v>
      </c>
      <c r="C33" s="169" t="s">
        <v>4</v>
      </c>
      <c r="D33" s="92" t="s">
        <v>158</v>
      </c>
      <c r="E33" s="123" t="s">
        <v>99</v>
      </c>
      <c r="F33" s="235"/>
      <c r="O33" s="198" t="s">
        <v>144</v>
      </c>
      <c r="P33" s="101"/>
      <c r="Q33" s="207"/>
      <c r="R33" s="101"/>
    </row>
    <row r="34" spans="1:20" ht="18.75" x14ac:dyDescent="0.25">
      <c r="A34" s="232"/>
      <c r="B34" s="76">
        <v>45766</v>
      </c>
      <c r="C34" s="106"/>
      <c r="D34" s="106"/>
      <c r="E34" s="124"/>
      <c r="F34" s="235"/>
      <c r="O34" s="199" t="s">
        <v>145</v>
      </c>
      <c r="P34" s="199"/>
      <c r="Q34" s="199"/>
      <c r="R34" s="97"/>
      <c r="S34" s="202" t="s">
        <v>149</v>
      </c>
      <c r="T34" s="97"/>
    </row>
    <row r="35" spans="1:20" ht="18.75" x14ac:dyDescent="0.3">
      <c r="A35" s="232"/>
      <c r="B35" s="76">
        <v>45773</v>
      </c>
      <c r="C35" s="106"/>
      <c r="D35" s="168"/>
      <c r="E35" s="124"/>
      <c r="F35" s="235"/>
      <c r="O35" s="200" t="s">
        <v>146</v>
      </c>
      <c r="P35" s="199"/>
      <c r="Q35" s="199"/>
      <c r="R35" s="202"/>
      <c r="S35" s="97" t="s">
        <v>150</v>
      </c>
      <c r="T35" s="97"/>
    </row>
    <row r="36" spans="1:20" ht="18.75" x14ac:dyDescent="0.25">
      <c r="A36" s="232"/>
      <c r="B36" s="76">
        <v>45780</v>
      </c>
      <c r="C36" s="106"/>
      <c r="D36" s="106"/>
      <c r="E36" s="151"/>
      <c r="F36" s="235"/>
      <c r="O36" s="200" t="s">
        <v>146</v>
      </c>
      <c r="P36" s="199"/>
      <c r="Q36" s="199"/>
      <c r="R36" s="97"/>
      <c r="S36" s="97" t="s">
        <v>150</v>
      </c>
      <c r="T36" s="97"/>
    </row>
    <row r="37" spans="1:20" ht="18.75" x14ac:dyDescent="0.25">
      <c r="A37" s="232"/>
      <c r="B37" s="170">
        <v>45787</v>
      </c>
      <c r="C37" s="59" t="s">
        <v>159</v>
      </c>
      <c r="D37" s="169" t="s">
        <v>2</v>
      </c>
      <c r="E37" s="123" t="s">
        <v>99</v>
      </c>
      <c r="F37" s="235"/>
      <c r="O37" s="201" t="s">
        <v>147</v>
      </c>
      <c r="P37" s="199"/>
      <c r="Q37" s="199"/>
      <c r="R37" s="97"/>
      <c r="S37" s="97" t="s">
        <v>150</v>
      </c>
      <c r="T37" s="97"/>
    </row>
    <row r="38" spans="1:20" ht="18.75" x14ac:dyDescent="0.25">
      <c r="A38" s="232"/>
      <c r="B38" s="213">
        <v>45794</v>
      </c>
      <c r="C38" s="214" t="s">
        <v>95</v>
      </c>
      <c r="D38" s="215" t="s">
        <v>2</v>
      </c>
      <c r="E38" s="216" t="s">
        <v>99</v>
      </c>
      <c r="F38" s="235"/>
      <c r="G38" s="217" t="s">
        <v>160</v>
      </c>
      <c r="H38" s="166"/>
      <c r="O38" s="199" t="s">
        <v>147</v>
      </c>
      <c r="P38" s="199"/>
      <c r="Q38" s="199"/>
      <c r="R38" s="97"/>
      <c r="S38" s="97" t="s">
        <v>150</v>
      </c>
      <c r="T38" s="97"/>
    </row>
    <row r="39" spans="1:20" ht="18.75" x14ac:dyDescent="0.25">
      <c r="A39" s="232"/>
      <c r="B39" s="170">
        <v>45801</v>
      </c>
      <c r="C39" s="59" t="s">
        <v>5</v>
      </c>
      <c r="D39" s="92" t="s">
        <v>4</v>
      </c>
      <c r="E39" s="123" t="s">
        <v>99</v>
      </c>
      <c r="F39" s="235"/>
      <c r="O39" s="165" t="s">
        <v>148</v>
      </c>
      <c r="P39" s="199"/>
      <c r="Q39" s="199"/>
    </row>
    <row r="40" spans="1:20" ht="18.75" x14ac:dyDescent="0.25">
      <c r="A40" s="232"/>
      <c r="B40" s="170">
        <v>45808</v>
      </c>
      <c r="C40" s="156" t="s">
        <v>158</v>
      </c>
      <c r="D40" s="92" t="s">
        <v>95</v>
      </c>
      <c r="E40" s="123" t="s">
        <v>99</v>
      </c>
      <c r="F40" s="235"/>
    </row>
    <row r="41" spans="1:20" ht="18.75" x14ac:dyDescent="0.25">
      <c r="A41" s="232"/>
      <c r="B41" s="170">
        <v>45815</v>
      </c>
      <c r="C41" s="92" t="s">
        <v>4</v>
      </c>
      <c r="D41" s="92" t="s">
        <v>159</v>
      </c>
      <c r="E41" s="123" t="s">
        <v>99</v>
      </c>
      <c r="F41" s="235"/>
    </row>
    <row r="42" spans="1:20" ht="18.75" x14ac:dyDescent="0.25">
      <c r="A42" s="232"/>
      <c r="B42" s="170">
        <v>45822</v>
      </c>
      <c r="C42" s="92" t="s">
        <v>5</v>
      </c>
      <c r="D42" s="92" t="s">
        <v>2</v>
      </c>
      <c r="E42" s="123" t="s">
        <v>99</v>
      </c>
      <c r="F42" s="235"/>
    </row>
    <row r="43" spans="1:20" ht="18.75" x14ac:dyDescent="0.25">
      <c r="A43" s="232"/>
      <c r="B43" s="170">
        <v>45829</v>
      </c>
      <c r="C43" s="157" t="s">
        <v>158</v>
      </c>
      <c r="D43" s="111" t="s">
        <v>95</v>
      </c>
      <c r="E43" s="171" t="s">
        <v>99</v>
      </c>
      <c r="F43" s="235"/>
    </row>
    <row r="44" spans="1:20" ht="18.75" x14ac:dyDescent="0.25">
      <c r="A44" s="232"/>
      <c r="B44" s="170">
        <v>45836</v>
      </c>
      <c r="C44" s="114" t="s">
        <v>2</v>
      </c>
      <c r="D44" s="114" t="s">
        <v>159</v>
      </c>
      <c r="E44" s="172" t="s">
        <v>99</v>
      </c>
      <c r="F44" s="235"/>
    </row>
    <row r="45" spans="1:20" ht="15.75" thickBot="1" x14ac:dyDescent="0.3">
      <c r="A45" s="233"/>
      <c r="B45" s="163"/>
      <c r="C45" s="163"/>
      <c r="D45" s="163"/>
      <c r="E45" s="163"/>
      <c r="F45" s="236"/>
    </row>
  </sheetData>
  <mergeCells count="8">
    <mergeCell ref="A1:A45"/>
    <mergeCell ref="C1:D1"/>
    <mergeCell ref="F1:F45"/>
    <mergeCell ref="P1:Q1"/>
    <mergeCell ref="C9:D9"/>
    <mergeCell ref="C5:E5"/>
    <mergeCell ref="C8:E8"/>
    <mergeCell ref="G8:H8"/>
  </mergeCells>
  <pageMargins left="0.25" right="0.25" top="0.75" bottom="0.75" header="0.3" footer="0.3"/>
  <pageSetup paperSize="9" scale="4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EF3F6-0C9F-48E7-BD75-C3832E73414E}">
  <sheetPr>
    <pageSetUpPr fitToPage="1"/>
  </sheetPr>
  <dimension ref="A1:R45"/>
  <sheetViews>
    <sheetView topLeftCell="A22" zoomScale="80" zoomScaleNormal="80" workbookViewId="0">
      <selection activeCell="U9" sqref="U9"/>
    </sheetView>
  </sheetViews>
  <sheetFormatPr baseColWidth="10" defaultRowHeight="15" x14ac:dyDescent="0.25"/>
  <cols>
    <col min="1" max="1" width="1.28515625" customWidth="1"/>
    <col min="2" max="2" width="15.28515625" customWidth="1"/>
    <col min="6" max="6" width="2" customWidth="1"/>
    <col min="10" max="10" width="8" customWidth="1"/>
    <col min="11" max="11" width="9.7109375" customWidth="1"/>
    <col min="12" max="12" width="5" customWidth="1"/>
    <col min="13" max="13" width="3.28515625" customWidth="1"/>
    <col min="14" max="14" width="17.7109375" customWidth="1"/>
    <col min="18" max="18" width="2.7109375" customWidth="1"/>
  </cols>
  <sheetData>
    <row r="1" spans="1:18" x14ac:dyDescent="0.25">
      <c r="A1" s="231"/>
      <c r="B1" s="70" t="s">
        <v>11</v>
      </c>
      <c r="C1" s="246" t="s">
        <v>12</v>
      </c>
      <c r="D1" s="246"/>
      <c r="E1" s="91"/>
      <c r="F1" s="234"/>
      <c r="M1" s="231"/>
      <c r="N1" s="70" t="s">
        <v>11</v>
      </c>
      <c r="O1" s="246" t="s">
        <v>12</v>
      </c>
      <c r="P1" s="246"/>
      <c r="Q1" s="91"/>
      <c r="R1" s="234"/>
    </row>
    <row r="2" spans="1:18" ht="26.25" x14ac:dyDescent="0.4">
      <c r="A2" s="232"/>
      <c r="B2" s="126">
        <v>45171</v>
      </c>
      <c r="C2" s="127" t="s">
        <v>2</v>
      </c>
      <c r="D2" s="128" t="s">
        <v>4</v>
      </c>
      <c r="E2" s="129" t="s">
        <v>99</v>
      </c>
      <c r="F2" s="235"/>
      <c r="G2" s="94" t="s">
        <v>102</v>
      </c>
      <c r="M2" s="232"/>
      <c r="N2" s="72">
        <v>45171</v>
      </c>
      <c r="O2" s="147" t="s">
        <v>45</v>
      </c>
      <c r="P2" s="92" t="s">
        <v>126</v>
      </c>
      <c r="Q2" s="93" t="s">
        <v>99</v>
      </c>
      <c r="R2" s="235"/>
    </row>
    <row r="3" spans="1:18" ht="18.75" x14ac:dyDescent="0.25">
      <c r="A3" s="232"/>
      <c r="B3" s="126">
        <v>45178</v>
      </c>
      <c r="C3" s="128" t="s">
        <v>2</v>
      </c>
      <c r="D3" s="130" t="s">
        <v>4</v>
      </c>
      <c r="E3" s="129" t="s">
        <v>99</v>
      </c>
      <c r="F3" s="235"/>
      <c r="M3" s="232"/>
      <c r="N3" s="72">
        <v>45178</v>
      </c>
      <c r="O3" s="92" t="s">
        <v>45</v>
      </c>
      <c r="P3" s="148" t="s">
        <v>126</v>
      </c>
      <c r="Q3" s="93" t="s">
        <v>99</v>
      </c>
      <c r="R3" s="235"/>
    </row>
    <row r="4" spans="1:18" ht="26.25" x14ac:dyDescent="0.4">
      <c r="A4" s="232"/>
      <c r="B4" s="126">
        <v>45185</v>
      </c>
      <c r="C4" s="128" t="s">
        <v>6</v>
      </c>
      <c r="D4" s="127" t="s">
        <v>4</v>
      </c>
      <c r="E4" s="129" t="s">
        <v>99</v>
      </c>
      <c r="F4" s="235"/>
      <c r="G4" s="95" t="s">
        <v>103</v>
      </c>
      <c r="M4" s="232"/>
      <c r="N4" s="72">
        <v>45185</v>
      </c>
      <c r="O4" s="92" t="s">
        <v>45</v>
      </c>
      <c r="P4" s="147" t="s">
        <v>126</v>
      </c>
      <c r="Q4" s="93" t="s">
        <v>99</v>
      </c>
      <c r="R4" s="235"/>
    </row>
    <row r="5" spans="1:18" ht="18.75" x14ac:dyDescent="0.25">
      <c r="A5" s="232"/>
      <c r="B5" s="126">
        <v>45192</v>
      </c>
      <c r="C5" s="128" t="s">
        <v>6</v>
      </c>
      <c r="D5" s="128"/>
      <c r="E5" s="129" t="s">
        <v>99</v>
      </c>
      <c r="F5" s="235"/>
      <c r="G5" s="96" t="s">
        <v>104</v>
      </c>
      <c r="M5" s="232"/>
      <c r="N5" s="72">
        <v>45192</v>
      </c>
      <c r="O5" s="92" t="s">
        <v>45</v>
      </c>
      <c r="P5" s="92" t="s">
        <v>126</v>
      </c>
      <c r="Q5" s="93" t="s">
        <v>99</v>
      </c>
      <c r="R5" s="235"/>
    </row>
    <row r="6" spans="1:18" ht="18.75" x14ac:dyDescent="0.25">
      <c r="A6" s="232"/>
      <c r="B6" s="131">
        <v>45199</v>
      </c>
      <c r="C6" s="251" t="s">
        <v>105</v>
      </c>
      <c r="D6" s="252"/>
      <c r="E6" s="252"/>
      <c r="F6" s="235"/>
      <c r="G6" s="97"/>
      <c r="M6" s="232"/>
      <c r="N6" s="149">
        <v>45199</v>
      </c>
      <c r="O6" s="237" t="s">
        <v>127</v>
      </c>
      <c r="P6" s="238"/>
      <c r="Q6" s="238"/>
      <c r="R6" s="235"/>
    </row>
    <row r="7" spans="1:18" ht="18.75" x14ac:dyDescent="0.25">
      <c r="A7" s="232"/>
      <c r="B7" s="126">
        <v>45206</v>
      </c>
      <c r="C7" s="128" t="s">
        <v>5</v>
      </c>
      <c r="D7" s="128" t="s">
        <v>4</v>
      </c>
      <c r="E7" s="129" t="s">
        <v>99</v>
      </c>
      <c r="F7" s="235"/>
      <c r="H7" s="98" t="s">
        <v>106</v>
      </c>
      <c r="M7" s="232"/>
      <c r="N7" s="72">
        <v>45206</v>
      </c>
      <c r="O7" s="92" t="s">
        <v>45</v>
      </c>
      <c r="P7" s="92" t="s">
        <v>126</v>
      </c>
      <c r="Q7" s="93" t="s">
        <v>99</v>
      </c>
      <c r="R7" s="235"/>
    </row>
    <row r="8" spans="1:18" ht="18.75" x14ac:dyDescent="0.25">
      <c r="A8" s="232"/>
      <c r="B8" s="132">
        <v>45213</v>
      </c>
      <c r="C8" s="128" t="s">
        <v>6</v>
      </c>
      <c r="D8" s="128" t="s">
        <v>2</v>
      </c>
      <c r="E8" s="133" t="s">
        <v>5</v>
      </c>
      <c r="F8" s="235"/>
      <c r="H8" s="100" t="s">
        <v>107</v>
      </c>
      <c r="I8" s="101">
        <v>15</v>
      </c>
      <c r="K8" t="s">
        <v>108</v>
      </c>
      <c r="L8" s="101">
        <v>31</v>
      </c>
      <c r="M8" s="232"/>
      <c r="N8" s="99">
        <v>45213</v>
      </c>
      <c r="O8" s="92" t="s">
        <v>45</v>
      </c>
      <c r="P8" s="92" t="s">
        <v>126</v>
      </c>
      <c r="Q8" s="150" t="s">
        <v>5</v>
      </c>
      <c r="R8" s="235"/>
    </row>
    <row r="9" spans="1:18" ht="18.75" x14ac:dyDescent="0.25">
      <c r="A9" s="232"/>
      <c r="B9" s="134">
        <v>45220</v>
      </c>
      <c r="C9" s="253"/>
      <c r="D9" s="253"/>
      <c r="E9" s="135"/>
      <c r="F9" s="235"/>
      <c r="H9" s="100" t="s">
        <v>109</v>
      </c>
      <c r="I9" s="101">
        <v>9</v>
      </c>
      <c r="M9" s="232"/>
      <c r="N9" s="76">
        <v>45220</v>
      </c>
      <c r="O9" s="239"/>
      <c r="P9" s="239"/>
      <c r="Q9" s="151"/>
      <c r="R9" s="235"/>
    </row>
    <row r="10" spans="1:18" ht="18.75" x14ac:dyDescent="0.25">
      <c r="A10" s="232"/>
      <c r="B10" s="134">
        <v>45227</v>
      </c>
      <c r="C10" s="136"/>
      <c r="D10" s="136"/>
      <c r="E10" s="135"/>
      <c r="F10" s="235"/>
      <c r="H10" s="100" t="s">
        <v>110</v>
      </c>
      <c r="I10" s="101">
        <v>9</v>
      </c>
      <c r="M10" s="232"/>
      <c r="N10" s="76">
        <v>45227</v>
      </c>
      <c r="O10" s="102"/>
      <c r="P10" s="102"/>
      <c r="Q10" s="151"/>
      <c r="R10" s="235"/>
    </row>
    <row r="11" spans="1:18" ht="18.75" x14ac:dyDescent="0.25">
      <c r="A11" s="232"/>
      <c r="B11" s="126">
        <v>45234</v>
      </c>
      <c r="C11" s="128" t="s">
        <v>6</v>
      </c>
      <c r="D11" s="128" t="s">
        <v>95</v>
      </c>
      <c r="E11" s="129" t="s">
        <v>99</v>
      </c>
      <c r="F11" s="235"/>
      <c r="H11" s="100" t="s">
        <v>111</v>
      </c>
      <c r="I11" s="101">
        <v>9</v>
      </c>
      <c r="M11" s="232"/>
      <c r="N11" s="72">
        <v>45234</v>
      </c>
      <c r="O11" s="92" t="s">
        <v>45</v>
      </c>
      <c r="P11" s="92" t="s">
        <v>126</v>
      </c>
      <c r="Q11" s="93" t="s">
        <v>99</v>
      </c>
      <c r="R11" s="235"/>
    </row>
    <row r="12" spans="1:18" ht="18.75" x14ac:dyDescent="0.25">
      <c r="A12" s="232"/>
      <c r="B12" s="126">
        <v>45241</v>
      </c>
      <c r="C12" s="128" t="s">
        <v>2</v>
      </c>
      <c r="D12" s="128" t="s">
        <v>5</v>
      </c>
      <c r="E12" s="137" t="s">
        <v>99</v>
      </c>
      <c r="F12" s="235"/>
      <c r="H12" s="100" t="s">
        <v>112</v>
      </c>
      <c r="I12" s="101">
        <v>10</v>
      </c>
      <c r="M12" s="232"/>
      <c r="N12" s="72">
        <v>45241</v>
      </c>
      <c r="O12" s="92" t="s">
        <v>45</v>
      </c>
      <c r="P12" s="92" t="s">
        <v>126</v>
      </c>
      <c r="Q12" s="123" t="s">
        <v>99</v>
      </c>
      <c r="R12" s="235"/>
    </row>
    <row r="13" spans="1:18" ht="18.75" x14ac:dyDescent="0.25">
      <c r="A13" s="232"/>
      <c r="B13" s="126">
        <v>45248</v>
      </c>
      <c r="C13" s="128" t="s">
        <v>6</v>
      </c>
      <c r="D13" s="128" t="s">
        <v>101</v>
      </c>
      <c r="E13" s="137" t="s">
        <v>99</v>
      </c>
      <c r="F13" s="235"/>
      <c r="H13" s="100" t="s">
        <v>113</v>
      </c>
      <c r="I13" s="101">
        <v>11</v>
      </c>
      <c r="M13" s="232"/>
      <c r="N13" s="72">
        <v>45248</v>
      </c>
      <c r="O13" s="92" t="s">
        <v>45</v>
      </c>
      <c r="P13" s="92" t="s">
        <v>126</v>
      </c>
      <c r="Q13" s="123" t="s">
        <v>99</v>
      </c>
      <c r="R13" s="235"/>
    </row>
    <row r="14" spans="1:18" ht="18.75" x14ac:dyDescent="0.25">
      <c r="A14" s="232"/>
      <c r="B14" s="126">
        <v>45255</v>
      </c>
      <c r="C14" s="128" t="s">
        <v>5</v>
      </c>
      <c r="D14" s="128" t="s">
        <v>2</v>
      </c>
      <c r="E14" s="137" t="s">
        <v>99</v>
      </c>
      <c r="F14" s="235"/>
      <c r="H14" s="103" t="s">
        <v>114</v>
      </c>
      <c r="I14" s="104">
        <f>SUM(I8:I13)</f>
        <v>63</v>
      </c>
      <c r="M14" s="232"/>
      <c r="N14" s="72">
        <v>45255</v>
      </c>
      <c r="O14" s="92" t="s">
        <v>45</v>
      </c>
      <c r="P14" s="92" t="s">
        <v>126</v>
      </c>
      <c r="Q14" s="123" t="s">
        <v>99</v>
      </c>
      <c r="R14" s="235"/>
    </row>
    <row r="15" spans="1:18" ht="18.75" x14ac:dyDescent="0.25">
      <c r="A15" s="232"/>
      <c r="B15" s="126">
        <v>45262</v>
      </c>
      <c r="C15" s="128" t="s">
        <v>6</v>
      </c>
      <c r="D15" s="128" t="s">
        <v>95</v>
      </c>
      <c r="E15" s="137" t="s">
        <v>99</v>
      </c>
      <c r="F15" s="235"/>
      <c r="M15" s="232"/>
      <c r="N15" s="72">
        <v>45262</v>
      </c>
      <c r="O15" s="92" t="s">
        <v>45</v>
      </c>
      <c r="P15" s="92" t="s">
        <v>126</v>
      </c>
      <c r="Q15" s="123" t="s">
        <v>99</v>
      </c>
      <c r="R15" s="235"/>
    </row>
    <row r="16" spans="1:18" ht="18.75" x14ac:dyDescent="0.25">
      <c r="A16" s="232"/>
      <c r="B16" s="126">
        <v>45269</v>
      </c>
      <c r="C16" s="128" t="s">
        <v>101</v>
      </c>
      <c r="D16" s="128" t="s">
        <v>4</v>
      </c>
      <c r="E16" s="137" t="s">
        <v>99</v>
      </c>
      <c r="F16" s="235"/>
      <c r="H16" s="100" t="s">
        <v>115</v>
      </c>
      <c r="M16" s="232"/>
      <c r="N16" s="72">
        <v>45269</v>
      </c>
      <c r="O16" s="92" t="s">
        <v>45</v>
      </c>
      <c r="P16" s="92" t="s">
        <v>126</v>
      </c>
      <c r="Q16" s="123" t="s">
        <v>99</v>
      </c>
      <c r="R16" s="235"/>
    </row>
    <row r="17" spans="1:18" ht="18.75" x14ac:dyDescent="0.25">
      <c r="A17" s="232"/>
      <c r="B17" s="132">
        <v>45276</v>
      </c>
      <c r="C17" s="128" t="s">
        <v>5</v>
      </c>
      <c r="D17" s="128" t="s">
        <v>101</v>
      </c>
      <c r="E17" s="137" t="s">
        <v>99</v>
      </c>
      <c r="F17" s="235"/>
      <c r="H17" s="100" t="s">
        <v>116</v>
      </c>
      <c r="M17" s="232"/>
      <c r="N17" s="99">
        <v>45276</v>
      </c>
      <c r="O17" s="92" t="s">
        <v>45</v>
      </c>
      <c r="P17" s="92" t="s">
        <v>126</v>
      </c>
      <c r="Q17" s="123" t="s">
        <v>99</v>
      </c>
      <c r="R17" s="235"/>
    </row>
    <row r="18" spans="1:18" ht="18.75" x14ac:dyDescent="0.25">
      <c r="A18" s="232"/>
      <c r="B18" s="134">
        <v>45283</v>
      </c>
      <c r="C18" s="138"/>
      <c r="D18" s="138"/>
      <c r="E18" s="139"/>
      <c r="F18" s="235"/>
      <c r="M18" s="232"/>
      <c r="N18" s="76">
        <v>45283</v>
      </c>
      <c r="O18" s="106"/>
      <c r="P18" s="106"/>
      <c r="Q18" s="124"/>
      <c r="R18" s="235"/>
    </row>
    <row r="19" spans="1:18" ht="18.75" x14ac:dyDescent="0.25">
      <c r="A19" s="232"/>
      <c r="B19" s="140">
        <v>45290</v>
      </c>
      <c r="C19" s="138"/>
      <c r="D19" s="138"/>
      <c r="E19" s="139"/>
      <c r="F19" s="235"/>
      <c r="H19" s="125" t="s">
        <v>125</v>
      </c>
      <c r="M19" s="232"/>
      <c r="N19" s="105">
        <v>45290</v>
      </c>
      <c r="O19" s="106"/>
      <c r="P19" s="106"/>
      <c r="Q19" s="124"/>
      <c r="R19" s="235"/>
    </row>
    <row r="20" spans="1:18" ht="18.75" x14ac:dyDescent="0.25">
      <c r="A20" s="232"/>
      <c r="B20" s="134">
        <v>45297</v>
      </c>
      <c r="C20" s="138"/>
      <c r="D20" s="138"/>
      <c r="E20" s="139"/>
      <c r="F20" s="235"/>
      <c r="M20" s="232"/>
      <c r="N20" s="76">
        <v>45297</v>
      </c>
      <c r="O20" s="106"/>
      <c r="P20" s="106"/>
      <c r="Q20" s="124"/>
      <c r="R20" s="235"/>
    </row>
    <row r="21" spans="1:18" ht="18.75" x14ac:dyDescent="0.25">
      <c r="A21" s="232"/>
      <c r="B21" s="126">
        <v>45304</v>
      </c>
      <c r="C21" s="128" t="s">
        <v>2</v>
      </c>
      <c r="D21" s="128" t="s">
        <v>4</v>
      </c>
      <c r="E21" s="137" t="s">
        <v>99</v>
      </c>
      <c r="F21" s="235"/>
      <c r="M21" s="232"/>
      <c r="N21" s="72">
        <v>45304</v>
      </c>
      <c r="O21" s="92" t="s">
        <v>2</v>
      </c>
      <c r="P21" s="92" t="s">
        <v>4</v>
      </c>
      <c r="Q21" s="123" t="s">
        <v>99</v>
      </c>
      <c r="R21" s="235"/>
    </row>
    <row r="22" spans="1:18" ht="18.75" x14ac:dyDescent="0.25">
      <c r="A22" s="232"/>
      <c r="B22" s="126">
        <v>45311</v>
      </c>
      <c r="C22" s="128" t="s">
        <v>95</v>
      </c>
      <c r="D22" s="128" t="s">
        <v>6</v>
      </c>
      <c r="E22" s="137" t="s">
        <v>99</v>
      </c>
      <c r="F22" s="235"/>
      <c r="M22" s="232"/>
      <c r="N22" s="72">
        <v>45311</v>
      </c>
      <c r="O22" s="92" t="s">
        <v>95</v>
      </c>
      <c r="P22" s="92" t="s">
        <v>5</v>
      </c>
      <c r="Q22" s="123" t="s">
        <v>99</v>
      </c>
      <c r="R22" s="235"/>
    </row>
    <row r="23" spans="1:18" ht="18.75" x14ac:dyDescent="0.25">
      <c r="A23" s="232"/>
      <c r="B23" s="126">
        <v>45318</v>
      </c>
      <c r="C23" s="141" t="s">
        <v>6</v>
      </c>
      <c r="D23" s="128" t="s">
        <v>5</v>
      </c>
      <c r="E23" s="137" t="s">
        <v>99</v>
      </c>
      <c r="F23" s="235"/>
      <c r="M23" s="232"/>
      <c r="N23" s="72">
        <v>45318</v>
      </c>
      <c r="O23" s="92" t="s">
        <v>2</v>
      </c>
      <c r="P23" s="92" t="s">
        <v>4</v>
      </c>
      <c r="Q23" s="123" t="s">
        <v>99</v>
      </c>
      <c r="R23" s="235"/>
    </row>
    <row r="24" spans="1:18" ht="18.75" x14ac:dyDescent="0.3">
      <c r="A24" s="232"/>
      <c r="B24" s="142">
        <v>45325</v>
      </c>
      <c r="C24" s="143" t="s">
        <v>95</v>
      </c>
      <c r="D24" s="128" t="s">
        <v>5</v>
      </c>
      <c r="E24" s="144" t="s">
        <v>99</v>
      </c>
      <c r="F24" s="235"/>
      <c r="M24" s="232"/>
      <c r="N24" s="82">
        <v>45325</v>
      </c>
      <c r="O24" s="92" t="s">
        <v>95</v>
      </c>
      <c r="P24" s="92" t="s">
        <v>5</v>
      </c>
      <c r="Q24" s="152" t="s">
        <v>99</v>
      </c>
      <c r="R24" s="235"/>
    </row>
    <row r="25" spans="1:18" ht="18.75" x14ac:dyDescent="0.25">
      <c r="A25" s="232"/>
      <c r="B25" s="99">
        <v>45332</v>
      </c>
      <c r="C25" s="92" t="s">
        <v>4</v>
      </c>
      <c r="D25" s="92" t="s">
        <v>101</v>
      </c>
      <c r="E25" s="123" t="s">
        <v>99</v>
      </c>
      <c r="F25" s="235"/>
      <c r="M25" s="232"/>
      <c r="N25" s="99">
        <v>45332</v>
      </c>
      <c r="O25" s="92" t="s">
        <v>2</v>
      </c>
      <c r="P25" s="92" t="s">
        <v>4</v>
      </c>
      <c r="Q25" s="123" t="s">
        <v>99</v>
      </c>
      <c r="R25" s="235"/>
    </row>
    <row r="26" spans="1:18" ht="18.75" x14ac:dyDescent="0.25">
      <c r="A26" s="232"/>
      <c r="B26" s="76">
        <v>45339</v>
      </c>
      <c r="C26" s="106"/>
      <c r="D26" s="106"/>
      <c r="E26" s="124"/>
      <c r="F26" s="235"/>
      <c r="M26" s="232"/>
      <c r="N26" s="76">
        <v>45339</v>
      </c>
      <c r="O26" s="106"/>
      <c r="P26" s="106"/>
      <c r="Q26" s="124"/>
      <c r="R26" s="235"/>
    </row>
    <row r="27" spans="1:18" ht="18.75" x14ac:dyDescent="0.25">
      <c r="A27" s="232"/>
      <c r="B27" s="76">
        <v>45346</v>
      </c>
      <c r="C27" s="106"/>
      <c r="D27" s="106"/>
      <c r="E27" s="124"/>
      <c r="F27" s="235"/>
      <c r="M27" s="232"/>
      <c r="N27" s="76">
        <v>45346</v>
      </c>
      <c r="O27" s="106"/>
      <c r="P27" s="106"/>
      <c r="Q27" s="124"/>
      <c r="R27" s="235"/>
    </row>
    <row r="28" spans="1:18" ht="18.75" x14ac:dyDescent="0.25">
      <c r="A28" s="232"/>
      <c r="B28" s="72">
        <v>45353</v>
      </c>
      <c r="C28" s="92" t="s">
        <v>101</v>
      </c>
      <c r="D28" s="92" t="s">
        <v>5</v>
      </c>
      <c r="E28" s="123" t="s">
        <v>99</v>
      </c>
      <c r="F28" s="235"/>
      <c r="M28" s="232"/>
      <c r="N28" s="72">
        <v>45353</v>
      </c>
      <c r="O28" s="92" t="s">
        <v>2</v>
      </c>
      <c r="P28" s="92" t="s">
        <v>4</v>
      </c>
      <c r="Q28" s="123" t="s">
        <v>99</v>
      </c>
      <c r="R28" s="235"/>
    </row>
    <row r="29" spans="1:18" ht="18.75" x14ac:dyDescent="0.25">
      <c r="A29" s="232"/>
      <c r="B29" s="72">
        <v>45360</v>
      </c>
      <c r="C29" s="145" t="s">
        <v>5</v>
      </c>
      <c r="D29" s="92" t="s">
        <v>95</v>
      </c>
      <c r="E29" s="123" t="s">
        <v>99</v>
      </c>
      <c r="F29" s="235"/>
      <c r="M29" s="232"/>
      <c r="N29" s="72">
        <v>45360</v>
      </c>
      <c r="O29" s="92" t="s">
        <v>95</v>
      </c>
      <c r="P29" s="92" t="s">
        <v>5</v>
      </c>
      <c r="Q29" s="123" t="s">
        <v>99</v>
      </c>
      <c r="R29" s="235"/>
    </row>
    <row r="30" spans="1:18" ht="18.75" x14ac:dyDescent="0.25">
      <c r="A30" s="232"/>
      <c r="B30" s="99">
        <v>45367</v>
      </c>
      <c r="C30" s="92" t="s">
        <v>95</v>
      </c>
      <c r="D30" s="92" t="s">
        <v>101</v>
      </c>
      <c r="E30" s="123" t="s">
        <v>99</v>
      </c>
      <c r="F30" s="235"/>
      <c r="M30" s="232"/>
      <c r="N30" s="99">
        <v>45367</v>
      </c>
      <c r="O30" s="92" t="s">
        <v>2</v>
      </c>
      <c r="P30" s="92" t="s">
        <v>4</v>
      </c>
      <c r="Q30" s="123" t="s">
        <v>99</v>
      </c>
      <c r="R30" s="235"/>
    </row>
    <row r="31" spans="1:18" ht="18.75" x14ac:dyDescent="0.25">
      <c r="A31" s="232"/>
      <c r="B31" s="99">
        <v>45374</v>
      </c>
      <c r="C31" s="145" t="s">
        <v>5</v>
      </c>
      <c r="D31" s="92" t="s">
        <v>2</v>
      </c>
      <c r="E31" s="123" t="s">
        <v>99</v>
      </c>
      <c r="F31" s="235"/>
      <c r="M31" s="232"/>
      <c r="N31" s="99">
        <v>45374</v>
      </c>
      <c r="O31" s="92" t="s">
        <v>95</v>
      </c>
      <c r="P31" s="92" t="s">
        <v>5</v>
      </c>
      <c r="Q31" s="123" t="s">
        <v>99</v>
      </c>
      <c r="R31" s="235"/>
    </row>
    <row r="32" spans="1:18" ht="18.75" x14ac:dyDescent="0.25">
      <c r="A32" s="232"/>
      <c r="B32" s="76">
        <v>45381</v>
      </c>
      <c r="C32" s="106"/>
      <c r="D32" s="106"/>
      <c r="E32" s="124"/>
      <c r="F32" s="235"/>
      <c r="M32" s="232"/>
      <c r="N32" s="76">
        <v>45381</v>
      </c>
      <c r="O32" s="106"/>
      <c r="P32" s="106"/>
      <c r="Q32" s="124"/>
      <c r="R32" s="235"/>
    </row>
    <row r="33" spans="1:18" ht="18.75" x14ac:dyDescent="0.25">
      <c r="A33" s="232"/>
      <c r="B33" s="76">
        <v>45388</v>
      </c>
      <c r="C33" s="106"/>
      <c r="D33" s="106"/>
      <c r="E33" s="124"/>
      <c r="F33" s="235"/>
      <c r="M33" s="232"/>
      <c r="N33" s="76">
        <v>45388</v>
      </c>
      <c r="O33" s="106"/>
      <c r="P33" s="106"/>
      <c r="Q33" s="124"/>
      <c r="R33" s="235"/>
    </row>
    <row r="34" spans="1:18" ht="18.75" x14ac:dyDescent="0.25">
      <c r="A34" s="232"/>
      <c r="B34" s="107">
        <v>45395</v>
      </c>
      <c r="C34" s="106"/>
      <c r="D34" s="106"/>
      <c r="E34" s="124"/>
      <c r="F34" s="235"/>
      <c r="M34" s="232"/>
      <c r="N34" s="107">
        <v>45395</v>
      </c>
      <c r="O34" s="106"/>
      <c r="P34" s="106"/>
      <c r="Q34" s="124"/>
      <c r="R34" s="235"/>
    </row>
    <row r="35" spans="1:18" ht="18.75" x14ac:dyDescent="0.3">
      <c r="A35" s="232"/>
      <c r="B35" s="72">
        <v>45402</v>
      </c>
      <c r="C35" s="145"/>
      <c r="D35" s="108" t="s">
        <v>101</v>
      </c>
      <c r="E35" s="123" t="s">
        <v>99</v>
      </c>
      <c r="F35" s="235"/>
      <c r="M35" s="232"/>
      <c r="N35" s="72">
        <v>45402</v>
      </c>
      <c r="O35" s="92" t="s">
        <v>2</v>
      </c>
      <c r="P35" s="92" t="s">
        <v>4</v>
      </c>
      <c r="Q35" s="123" t="s">
        <v>99</v>
      </c>
      <c r="R35" s="235"/>
    </row>
    <row r="36" spans="1:18" ht="18.75" x14ac:dyDescent="0.25">
      <c r="A36" s="232"/>
      <c r="B36" s="72">
        <v>45409</v>
      </c>
      <c r="C36" s="92" t="s">
        <v>95</v>
      </c>
      <c r="D36" s="92" t="s">
        <v>4</v>
      </c>
      <c r="E36" s="93" t="s">
        <v>99</v>
      </c>
      <c r="F36" s="235"/>
      <c r="M36" s="232"/>
      <c r="N36" s="72">
        <v>45409</v>
      </c>
      <c r="O36" s="92" t="s">
        <v>95</v>
      </c>
      <c r="P36" s="92" t="s">
        <v>5</v>
      </c>
      <c r="Q36" s="93" t="s">
        <v>99</v>
      </c>
      <c r="R36" s="235"/>
    </row>
    <row r="37" spans="1:18" ht="18.75" x14ac:dyDescent="0.25">
      <c r="A37" s="232"/>
      <c r="B37" s="72">
        <v>45416</v>
      </c>
      <c r="C37" s="109" t="s">
        <v>101</v>
      </c>
      <c r="D37" s="145"/>
      <c r="E37" s="93" t="s">
        <v>99</v>
      </c>
      <c r="F37" s="235"/>
      <c r="M37" s="232"/>
      <c r="N37" s="72">
        <v>45416</v>
      </c>
      <c r="O37" s="92" t="s">
        <v>2</v>
      </c>
      <c r="P37" s="92" t="s">
        <v>4</v>
      </c>
      <c r="Q37" s="93" t="s">
        <v>99</v>
      </c>
      <c r="R37" s="235"/>
    </row>
    <row r="38" spans="1:18" ht="18.75" x14ac:dyDescent="0.25">
      <c r="A38" s="232"/>
      <c r="B38" s="72">
        <v>45423</v>
      </c>
      <c r="C38" s="92" t="s">
        <v>5</v>
      </c>
      <c r="D38" s="109" t="s">
        <v>95</v>
      </c>
      <c r="E38" s="93" t="s">
        <v>99</v>
      </c>
      <c r="F38" s="235"/>
      <c r="M38" s="232"/>
      <c r="N38" s="72">
        <v>45423</v>
      </c>
      <c r="O38" s="92" t="s">
        <v>95</v>
      </c>
      <c r="P38" s="92" t="s">
        <v>5</v>
      </c>
      <c r="Q38" s="93" t="s">
        <v>99</v>
      </c>
      <c r="R38" s="235"/>
    </row>
    <row r="39" spans="1:18" ht="18.75" x14ac:dyDescent="0.25">
      <c r="A39" s="232"/>
      <c r="B39" s="72">
        <v>45430</v>
      </c>
      <c r="C39" s="109" t="s">
        <v>2</v>
      </c>
      <c r="D39" s="92" t="s">
        <v>101</v>
      </c>
      <c r="E39" s="93" t="s">
        <v>99</v>
      </c>
      <c r="F39" s="235"/>
      <c r="M39" s="232"/>
      <c r="N39" s="72">
        <v>45430</v>
      </c>
      <c r="O39" s="92" t="s">
        <v>2</v>
      </c>
      <c r="P39" s="92" t="s">
        <v>4</v>
      </c>
      <c r="Q39" s="93" t="s">
        <v>99</v>
      </c>
      <c r="R39" s="235"/>
    </row>
    <row r="40" spans="1:18" ht="18.75" x14ac:dyDescent="0.25">
      <c r="A40" s="232"/>
      <c r="B40" s="72">
        <v>45437</v>
      </c>
      <c r="C40" s="145"/>
      <c r="D40" s="92" t="s">
        <v>4</v>
      </c>
      <c r="E40" s="93" t="s">
        <v>99</v>
      </c>
      <c r="F40" s="235"/>
      <c r="M40" s="232"/>
      <c r="N40" s="72">
        <v>45437</v>
      </c>
      <c r="O40" s="92" t="s">
        <v>95</v>
      </c>
      <c r="P40" s="92" t="s">
        <v>5</v>
      </c>
      <c r="Q40" s="93" t="s">
        <v>99</v>
      </c>
      <c r="R40" s="235"/>
    </row>
    <row r="41" spans="1:18" ht="18.75" x14ac:dyDescent="0.25">
      <c r="A41" s="232"/>
      <c r="B41" s="72">
        <v>45444</v>
      </c>
      <c r="C41" s="92" t="s">
        <v>101</v>
      </c>
      <c r="D41" s="92" t="s">
        <v>5</v>
      </c>
      <c r="E41" s="93" t="s">
        <v>99</v>
      </c>
      <c r="F41" s="235"/>
      <c r="M41" s="232"/>
      <c r="N41" s="72">
        <v>45444</v>
      </c>
      <c r="O41" s="92" t="s">
        <v>2</v>
      </c>
      <c r="P41" s="92" t="s">
        <v>4</v>
      </c>
      <c r="Q41" s="93" t="s">
        <v>99</v>
      </c>
      <c r="R41" s="235"/>
    </row>
    <row r="42" spans="1:18" ht="18.75" x14ac:dyDescent="0.25">
      <c r="A42" s="232"/>
      <c r="B42" s="72">
        <v>45451</v>
      </c>
      <c r="C42" s="145"/>
      <c r="D42" s="92" t="s">
        <v>2</v>
      </c>
      <c r="E42" s="93" t="s">
        <v>99</v>
      </c>
      <c r="F42" s="235"/>
      <c r="M42" s="232"/>
      <c r="N42" s="72">
        <v>45451</v>
      </c>
      <c r="O42" s="92" t="s">
        <v>95</v>
      </c>
      <c r="P42" s="92" t="s">
        <v>5</v>
      </c>
      <c r="Q42" s="93" t="s">
        <v>99</v>
      </c>
      <c r="R42" s="235"/>
    </row>
    <row r="43" spans="1:18" ht="18.75" x14ac:dyDescent="0.25">
      <c r="A43" s="232"/>
      <c r="B43" s="110">
        <v>45458</v>
      </c>
      <c r="C43" s="111" t="s">
        <v>4</v>
      </c>
      <c r="D43" s="111" t="s">
        <v>101</v>
      </c>
      <c r="E43" s="112" t="s">
        <v>99</v>
      </c>
      <c r="F43" s="235"/>
      <c r="M43" s="232"/>
      <c r="N43" s="110">
        <v>45458</v>
      </c>
      <c r="O43" s="92" t="s">
        <v>2</v>
      </c>
      <c r="P43" s="92" t="s">
        <v>4</v>
      </c>
      <c r="Q43" s="112" t="s">
        <v>99</v>
      </c>
      <c r="R43" s="235"/>
    </row>
    <row r="44" spans="1:18" ht="18.75" x14ac:dyDescent="0.25">
      <c r="A44" s="232"/>
      <c r="B44" s="113">
        <v>45465</v>
      </c>
      <c r="C44" s="146"/>
      <c r="D44" s="114" t="s">
        <v>95</v>
      </c>
      <c r="E44" s="115" t="s">
        <v>99</v>
      </c>
      <c r="F44" s="235"/>
      <c r="M44" s="232"/>
      <c r="N44" s="113">
        <v>45465</v>
      </c>
      <c r="O44" s="92" t="s">
        <v>95</v>
      </c>
      <c r="P44" s="92" t="s">
        <v>5</v>
      </c>
      <c r="Q44" s="115" t="s">
        <v>99</v>
      </c>
      <c r="R44" s="235"/>
    </row>
    <row r="45" spans="1:18" ht="15.75" thickBot="1" x14ac:dyDescent="0.3">
      <c r="A45" s="233"/>
      <c r="B45" s="122"/>
      <c r="C45" s="122"/>
      <c r="D45" s="122"/>
      <c r="E45" s="122"/>
      <c r="F45" s="236"/>
      <c r="M45" s="233"/>
      <c r="N45" s="153"/>
      <c r="O45" s="153"/>
      <c r="P45" s="153"/>
      <c r="Q45" s="153"/>
      <c r="R45" s="236"/>
    </row>
  </sheetData>
  <mergeCells count="10">
    <mergeCell ref="O1:P1"/>
    <mergeCell ref="R1:R45"/>
    <mergeCell ref="O6:Q6"/>
    <mergeCell ref="O9:P9"/>
    <mergeCell ref="A1:A45"/>
    <mergeCell ref="C1:D1"/>
    <mergeCell ref="F1:F45"/>
    <mergeCell ref="C6:E6"/>
    <mergeCell ref="C9:D9"/>
    <mergeCell ref="M1:M45"/>
  </mergeCells>
  <pageMargins left="0.25" right="0.25" top="0.75" bottom="0.75" header="0.3" footer="0.3"/>
  <pageSetup paperSize="9" scale="89" fitToWidth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14777-3847-4A9F-919B-7C4BE0737C89}">
  <sheetPr>
    <pageSetUpPr fitToPage="1"/>
  </sheetPr>
  <dimension ref="A1:V45"/>
  <sheetViews>
    <sheetView zoomScale="80" zoomScaleNormal="80" workbookViewId="0">
      <selection activeCell="N1" sqref="N1:W15"/>
    </sheetView>
  </sheetViews>
  <sheetFormatPr baseColWidth="10" defaultRowHeight="15" x14ac:dyDescent="0.25"/>
  <cols>
    <col min="1" max="1" width="1.28515625" customWidth="1"/>
    <col min="2" max="2" width="15.28515625" customWidth="1"/>
    <col min="6" max="6" width="2" customWidth="1"/>
    <col min="10" max="10" width="8" customWidth="1"/>
    <col min="11" max="11" width="9.7109375" customWidth="1"/>
    <col min="12" max="12" width="5" customWidth="1"/>
    <col min="14" max="14" width="2" customWidth="1"/>
    <col min="15" max="15" width="15.7109375" customWidth="1"/>
    <col min="18" max="18" width="12" customWidth="1"/>
    <col min="19" max="19" width="1.5703125" customWidth="1"/>
  </cols>
  <sheetData>
    <row r="1" spans="1:22" x14ac:dyDescent="0.25">
      <c r="A1" s="231"/>
      <c r="B1" s="70" t="s">
        <v>11</v>
      </c>
      <c r="C1" s="246" t="s">
        <v>12</v>
      </c>
      <c r="D1" s="246"/>
      <c r="E1" s="91"/>
      <c r="F1" s="234"/>
      <c r="N1" s="159"/>
      <c r="O1" s="70" t="s">
        <v>11</v>
      </c>
      <c r="P1" s="246" t="s">
        <v>12</v>
      </c>
      <c r="Q1" s="246"/>
      <c r="R1" s="91"/>
      <c r="S1" s="161"/>
    </row>
    <row r="2" spans="1:22" ht="26.25" x14ac:dyDescent="0.4">
      <c r="A2" s="232"/>
      <c r="B2" s="126">
        <v>45171</v>
      </c>
      <c r="C2" s="127" t="s">
        <v>2</v>
      </c>
      <c r="D2" s="128" t="s">
        <v>4</v>
      </c>
      <c r="E2" s="129" t="s">
        <v>99</v>
      </c>
      <c r="F2" s="235"/>
      <c r="G2" s="94" t="s">
        <v>102</v>
      </c>
      <c r="N2" s="160"/>
      <c r="O2" s="72">
        <v>45437</v>
      </c>
      <c r="P2" s="59" t="s">
        <v>2</v>
      </c>
      <c r="Q2" s="92" t="s">
        <v>4</v>
      </c>
      <c r="R2" s="93" t="s">
        <v>5</v>
      </c>
      <c r="S2" s="162"/>
      <c r="T2" s="164" t="s">
        <v>135</v>
      </c>
    </row>
    <row r="3" spans="1:22" ht="18.75" x14ac:dyDescent="0.25">
      <c r="A3" s="232"/>
      <c r="B3" s="126">
        <v>45178</v>
      </c>
      <c r="C3" s="128" t="s">
        <v>2</v>
      </c>
      <c r="D3" s="130" t="s">
        <v>4</v>
      </c>
      <c r="E3" s="129" t="s">
        <v>99</v>
      </c>
      <c r="F3" s="235"/>
      <c r="N3" s="160"/>
      <c r="O3" s="72">
        <v>45451</v>
      </c>
      <c r="P3" s="92" t="s">
        <v>4</v>
      </c>
      <c r="Q3" s="93" t="s">
        <v>5</v>
      </c>
      <c r="R3" s="93" t="s">
        <v>130</v>
      </c>
      <c r="S3" s="162"/>
    </row>
    <row r="4" spans="1:22" ht="26.25" x14ac:dyDescent="0.4">
      <c r="A4" s="232"/>
      <c r="B4" s="126">
        <v>45185</v>
      </c>
      <c r="C4" s="128" t="s">
        <v>6</v>
      </c>
      <c r="D4" s="127" t="s">
        <v>4</v>
      </c>
      <c r="E4" s="129" t="s">
        <v>99</v>
      </c>
      <c r="F4" s="235"/>
      <c r="G4" s="95" t="s">
        <v>103</v>
      </c>
      <c r="N4" s="160"/>
      <c r="O4" s="72">
        <v>45542</v>
      </c>
      <c r="P4" s="93" t="s">
        <v>4</v>
      </c>
      <c r="Q4" s="93" t="s">
        <v>130</v>
      </c>
      <c r="R4" s="59" t="s">
        <v>2</v>
      </c>
      <c r="S4" s="162"/>
      <c r="U4" s="165" t="s">
        <v>136</v>
      </c>
    </row>
    <row r="5" spans="1:22" ht="18.75" x14ac:dyDescent="0.25">
      <c r="A5" s="232"/>
      <c r="B5" s="126">
        <v>45192</v>
      </c>
      <c r="C5" s="128" t="s">
        <v>6</v>
      </c>
      <c r="D5" s="128"/>
      <c r="E5" s="129" t="s">
        <v>99</v>
      </c>
      <c r="F5" s="235"/>
      <c r="G5" s="96" t="s">
        <v>104</v>
      </c>
      <c r="N5" s="160"/>
      <c r="O5" s="72">
        <v>45577</v>
      </c>
      <c r="P5" s="93" t="s">
        <v>130</v>
      </c>
      <c r="Q5" s="59" t="s">
        <v>2</v>
      </c>
      <c r="R5" s="93" t="s">
        <v>5</v>
      </c>
      <c r="S5" s="162"/>
      <c r="U5" s="166" t="s">
        <v>137</v>
      </c>
      <c r="V5" s="166"/>
    </row>
    <row r="6" spans="1:22" ht="18.75" x14ac:dyDescent="0.25">
      <c r="A6" s="232"/>
      <c r="B6" s="131">
        <v>45199</v>
      </c>
      <c r="C6" s="251" t="s">
        <v>105</v>
      </c>
      <c r="D6" s="252"/>
      <c r="E6" s="252"/>
      <c r="F6" s="235"/>
      <c r="G6" s="97"/>
      <c r="N6" s="160"/>
      <c r="O6" s="110">
        <v>45598</v>
      </c>
      <c r="P6" s="59" t="s">
        <v>2</v>
      </c>
      <c r="Q6" s="93" t="s">
        <v>4</v>
      </c>
      <c r="R6" s="112" t="s">
        <v>5</v>
      </c>
      <c r="S6" s="162"/>
    </row>
    <row r="7" spans="1:22" ht="18.75" x14ac:dyDescent="0.25">
      <c r="A7" s="232"/>
      <c r="B7" s="126">
        <v>45206</v>
      </c>
      <c r="C7" s="128" t="s">
        <v>5</v>
      </c>
      <c r="D7" s="128" t="s">
        <v>4</v>
      </c>
      <c r="E7" s="129" t="s">
        <v>99</v>
      </c>
      <c r="F7" s="235"/>
      <c r="H7" s="98" t="s">
        <v>106</v>
      </c>
      <c r="N7" s="160"/>
      <c r="O7" s="113">
        <v>45626</v>
      </c>
      <c r="P7" s="114" t="s">
        <v>130</v>
      </c>
      <c r="Q7" s="114" t="s">
        <v>2</v>
      </c>
      <c r="R7" s="115" t="s">
        <v>4</v>
      </c>
      <c r="S7" s="162"/>
    </row>
    <row r="8" spans="1:22" ht="19.5" thickBot="1" x14ac:dyDescent="0.3">
      <c r="A8" s="232"/>
      <c r="B8" s="132">
        <v>45213</v>
      </c>
      <c r="C8" s="128" t="s">
        <v>6</v>
      </c>
      <c r="D8" s="128" t="s">
        <v>2</v>
      </c>
      <c r="E8" s="133" t="s">
        <v>5</v>
      </c>
      <c r="F8" s="235"/>
      <c r="H8" s="100" t="s">
        <v>107</v>
      </c>
      <c r="I8" s="101">
        <v>15</v>
      </c>
      <c r="K8" t="s">
        <v>108</v>
      </c>
      <c r="L8" s="101">
        <v>31</v>
      </c>
      <c r="N8" s="160"/>
      <c r="O8" s="158"/>
      <c r="P8" s="158"/>
      <c r="Q8" s="158"/>
      <c r="R8" s="158"/>
      <c r="S8" s="162"/>
    </row>
    <row r="9" spans="1:22" ht="18.75" x14ac:dyDescent="0.25">
      <c r="A9" s="232"/>
      <c r="B9" s="134">
        <v>45220</v>
      </c>
      <c r="C9" s="253"/>
      <c r="D9" s="253"/>
      <c r="E9" s="135"/>
      <c r="F9" s="235"/>
      <c r="H9" s="100" t="s">
        <v>109</v>
      </c>
      <c r="I9" s="101">
        <v>9</v>
      </c>
    </row>
    <row r="10" spans="1:22" ht="18.75" x14ac:dyDescent="0.25">
      <c r="A10" s="232"/>
      <c r="B10" s="134">
        <v>45227</v>
      </c>
      <c r="C10" s="136"/>
      <c r="D10" s="136"/>
      <c r="E10" s="135"/>
      <c r="F10" s="235"/>
      <c r="H10" s="100" t="s">
        <v>110</v>
      </c>
      <c r="I10" s="101">
        <v>9</v>
      </c>
      <c r="O10" t="s">
        <v>131</v>
      </c>
      <c r="P10">
        <v>4</v>
      </c>
    </row>
    <row r="11" spans="1:22" ht="18.75" x14ac:dyDescent="0.25">
      <c r="A11" s="232"/>
      <c r="B11" s="126">
        <v>45234</v>
      </c>
      <c r="C11" s="128" t="s">
        <v>6</v>
      </c>
      <c r="D11" s="128" t="s">
        <v>95</v>
      </c>
      <c r="E11" s="129" t="s">
        <v>99</v>
      </c>
      <c r="F11" s="235"/>
      <c r="H11" s="100" t="s">
        <v>111</v>
      </c>
      <c r="I11" s="101">
        <v>9</v>
      </c>
      <c r="O11" t="s">
        <v>132</v>
      </c>
      <c r="P11">
        <v>5</v>
      </c>
    </row>
    <row r="12" spans="1:22" ht="18.75" x14ac:dyDescent="0.25">
      <c r="A12" s="232"/>
      <c r="B12" s="126">
        <v>45241</v>
      </c>
      <c r="C12" s="128" t="s">
        <v>2</v>
      </c>
      <c r="D12" s="128" t="s">
        <v>5</v>
      </c>
      <c r="E12" s="137" t="s">
        <v>99</v>
      </c>
      <c r="F12" s="235"/>
      <c r="H12" s="100" t="s">
        <v>112</v>
      </c>
      <c r="I12" s="101">
        <v>10</v>
      </c>
      <c r="O12" t="s">
        <v>133</v>
      </c>
      <c r="P12">
        <v>5</v>
      </c>
    </row>
    <row r="13" spans="1:22" ht="18.75" x14ac:dyDescent="0.25">
      <c r="A13" s="232"/>
      <c r="B13" s="126">
        <v>45248</v>
      </c>
      <c r="C13" s="128" t="s">
        <v>6</v>
      </c>
      <c r="D13" s="128" t="s">
        <v>101</v>
      </c>
      <c r="E13" s="137" t="s">
        <v>99</v>
      </c>
      <c r="F13" s="235"/>
      <c r="H13" s="100" t="s">
        <v>113</v>
      </c>
      <c r="I13" s="101">
        <v>11</v>
      </c>
      <c r="O13" t="s">
        <v>134</v>
      </c>
      <c r="P13">
        <v>4</v>
      </c>
    </row>
    <row r="14" spans="1:22" ht="18.75" x14ac:dyDescent="0.25">
      <c r="A14" s="232"/>
      <c r="B14" s="126">
        <v>45255</v>
      </c>
      <c r="C14" s="128" t="s">
        <v>5</v>
      </c>
      <c r="D14" s="128" t="s">
        <v>2</v>
      </c>
      <c r="E14" s="137" t="s">
        <v>99</v>
      </c>
      <c r="F14" s="235"/>
      <c r="H14" s="103" t="s">
        <v>114</v>
      </c>
      <c r="I14" s="104">
        <f>SUM(I8:I13)</f>
        <v>63</v>
      </c>
    </row>
    <row r="15" spans="1:22" ht="18.75" x14ac:dyDescent="0.25">
      <c r="A15" s="232"/>
      <c r="B15" s="126">
        <v>45262</v>
      </c>
      <c r="C15" s="128" t="s">
        <v>6</v>
      </c>
      <c r="D15" s="128" t="s">
        <v>95</v>
      </c>
      <c r="E15" s="137" t="s">
        <v>99</v>
      </c>
      <c r="F15" s="235"/>
    </row>
    <row r="16" spans="1:22" ht="18.75" x14ac:dyDescent="0.25">
      <c r="A16" s="232"/>
      <c r="B16" s="126">
        <v>45269</v>
      </c>
      <c r="C16" s="128" t="s">
        <v>101</v>
      </c>
      <c r="D16" s="128" t="s">
        <v>4</v>
      </c>
      <c r="E16" s="137" t="s">
        <v>99</v>
      </c>
      <c r="F16" s="235"/>
      <c r="H16" s="100" t="s">
        <v>115</v>
      </c>
    </row>
    <row r="17" spans="1:8" ht="18.75" x14ac:dyDescent="0.25">
      <c r="A17" s="232"/>
      <c r="B17" s="132">
        <v>45276</v>
      </c>
      <c r="C17" s="128" t="s">
        <v>5</v>
      </c>
      <c r="D17" s="128" t="s">
        <v>101</v>
      </c>
      <c r="E17" s="137" t="s">
        <v>99</v>
      </c>
      <c r="F17" s="235"/>
      <c r="H17" s="100" t="s">
        <v>116</v>
      </c>
    </row>
    <row r="18" spans="1:8" ht="18.75" x14ac:dyDescent="0.25">
      <c r="A18" s="232"/>
      <c r="B18" s="134">
        <v>45283</v>
      </c>
      <c r="C18" s="138"/>
      <c r="D18" s="138"/>
      <c r="E18" s="139"/>
      <c r="F18" s="235"/>
    </row>
    <row r="19" spans="1:8" ht="18.75" x14ac:dyDescent="0.25">
      <c r="A19" s="232"/>
      <c r="B19" s="140">
        <v>45290</v>
      </c>
      <c r="C19" s="138"/>
      <c r="D19" s="138"/>
      <c r="E19" s="139"/>
      <c r="F19" s="235"/>
      <c r="H19" s="125" t="s">
        <v>125</v>
      </c>
    </row>
    <row r="20" spans="1:8" ht="18.75" x14ac:dyDescent="0.25">
      <c r="A20" s="232"/>
      <c r="B20" s="134">
        <v>45297</v>
      </c>
      <c r="C20" s="138"/>
      <c r="D20" s="138"/>
      <c r="E20" s="139"/>
      <c r="F20" s="235"/>
    </row>
    <row r="21" spans="1:8" ht="18.75" x14ac:dyDescent="0.25">
      <c r="A21" s="232"/>
      <c r="B21" s="126">
        <v>45304</v>
      </c>
      <c r="C21" s="128" t="s">
        <v>2</v>
      </c>
      <c r="D21" s="128" t="s">
        <v>4</v>
      </c>
      <c r="E21" s="137" t="s">
        <v>99</v>
      </c>
      <c r="F21" s="235"/>
    </row>
    <row r="22" spans="1:8" ht="18.75" x14ac:dyDescent="0.25">
      <c r="A22" s="232"/>
      <c r="B22" s="126">
        <v>45311</v>
      </c>
      <c r="C22" s="128" t="s">
        <v>95</v>
      </c>
      <c r="D22" s="128" t="s">
        <v>6</v>
      </c>
      <c r="E22" s="137" t="s">
        <v>99</v>
      </c>
      <c r="F22" s="235"/>
    </row>
    <row r="23" spans="1:8" ht="18.75" x14ac:dyDescent="0.25">
      <c r="A23" s="232"/>
      <c r="B23" s="126">
        <v>45318</v>
      </c>
      <c r="C23" s="141" t="s">
        <v>6</v>
      </c>
      <c r="D23" s="128" t="s">
        <v>5</v>
      </c>
      <c r="E23" s="137" t="s">
        <v>99</v>
      </c>
      <c r="F23" s="235"/>
    </row>
    <row r="24" spans="1:8" ht="18.75" x14ac:dyDescent="0.3">
      <c r="A24" s="232"/>
      <c r="B24" s="142">
        <v>45325</v>
      </c>
      <c r="C24" s="143" t="s">
        <v>95</v>
      </c>
      <c r="D24" s="128" t="s">
        <v>5</v>
      </c>
      <c r="E24" s="144" t="s">
        <v>99</v>
      </c>
      <c r="F24" s="235"/>
    </row>
    <row r="25" spans="1:8" ht="18.75" x14ac:dyDescent="0.25">
      <c r="A25" s="232"/>
      <c r="B25" s="99">
        <v>45332</v>
      </c>
      <c r="C25" s="92" t="s">
        <v>4</v>
      </c>
      <c r="D25" s="92" t="s">
        <v>101</v>
      </c>
      <c r="E25" s="123" t="s">
        <v>99</v>
      </c>
      <c r="F25" s="235"/>
    </row>
    <row r="26" spans="1:8" ht="18.75" x14ac:dyDescent="0.25">
      <c r="A26" s="232"/>
      <c r="B26" s="76">
        <v>45339</v>
      </c>
      <c r="C26" s="106"/>
      <c r="D26" s="106"/>
      <c r="E26" s="124"/>
      <c r="F26" s="235"/>
    </row>
    <row r="27" spans="1:8" ht="18.75" x14ac:dyDescent="0.25">
      <c r="A27" s="232"/>
      <c r="B27" s="76">
        <v>45346</v>
      </c>
      <c r="C27" s="106"/>
      <c r="D27" s="106"/>
      <c r="E27" s="124"/>
      <c r="F27" s="235"/>
    </row>
    <row r="28" spans="1:8" ht="18.75" x14ac:dyDescent="0.25">
      <c r="A28" s="232"/>
      <c r="B28" s="72">
        <v>45353</v>
      </c>
      <c r="C28" s="92" t="s">
        <v>101</v>
      </c>
      <c r="D28" s="145" t="s">
        <v>5</v>
      </c>
      <c r="E28" s="123" t="s">
        <v>99</v>
      </c>
      <c r="F28" s="235"/>
    </row>
    <row r="29" spans="1:8" ht="18.75" x14ac:dyDescent="0.25">
      <c r="A29" s="232"/>
      <c r="B29" s="72">
        <v>45360</v>
      </c>
      <c r="C29" s="145" t="s">
        <v>5</v>
      </c>
      <c r="D29" s="92" t="s">
        <v>95</v>
      </c>
      <c r="E29" s="123" t="s">
        <v>99</v>
      </c>
      <c r="F29" s="235"/>
    </row>
    <row r="30" spans="1:8" ht="18.75" x14ac:dyDescent="0.25">
      <c r="A30" s="232"/>
      <c r="B30" s="99">
        <v>45367</v>
      </c>
      <c r="C30" s="92" t="s">
        <v>95</v>
      </c>
      <c r="D30" s="92" t="s">
        <v>101</v>
      </c>
      <c r="E30" s="123" t="s">
        <v>99</v>
      </c>
      <c r="F30" s="235"/>
    </row>
    <row r="31" spans="1:8" ht="18.75" x14ac:dyDescent="0.25">
      <c r="A31" s="232"/>
      <c r="B31" s="99">
        <v>45374</v>
      </c>
      <c r="C31" s="145" t="s">
        <v>5</v>
      </c>
      <c r="D31" s="92" t="s">
        <v>2</v>
      </c>
      <c r="E31" s="123" t="s">
        <v>99</v>
      </c>
      <c r="F31" s="235"/>
    </row>
    <row r="32" spans="1:8" ht="18.75" x14ac:dyDescent="0.25">
      <c r="A32" s="232"/>
      <c r="B32" s="76">
        <v>45381</v>
      </c>
      <c r="C32" s="106"/>
      <c r="D32" s="106"/>
      <c r="E32" s="124"/>
      <c r="F32" s="235"/>
    </row>
    <row r="33" spans="1:6" ht="18.75" x14ac:dyDescent="0.25">
      <c r="A33" s="232"/>
      <c r="B33" s="76">
        <v>45388</v>
      </c>
      <c r="C33" s="106"/>
      <c r="D33" s="106"/>
      <c r="E33" s="124"/>
      <c r="F33" s="235"/>
    </row>
    <row r="34" spans="1:6" ht="18.75" x14ac:dyDescent="0.25">
      <c r="A34" s="232"/>
      <c r="B34" s="107">
        <v>45395</v>
      </c>
      <c r="C34" s="106"/>
      <c r="D34" s="106"/>
      <c r="E34" s="124"/>
      <c r="F34" s="235"/>
    </row>
    <row r="35" spans="1:6" ht="18.75" x14ac:dyDescent="0.3">
      <c r="A35" s="232"/>
      <c r="B35" s="72">
        <v>45402</v>
      </c>
      <c r="C35" s="145" t="s">
        <v>128</v>
      </c>
      <c r="D35" s="154" t="s">
        <v>95</v>
      </c>
      <c r="E35" s="123" t="s">
        <v>99</v>
      </c>
      <c r="F35" s="235"/>
    </row>
    <row r="36" spans="1:6" ht="18.75" x14ac:dyDescent="0.25">
      <c r="A36" s="232"/>
      <c r="B36" s="72">
        <v>45409</v>
      </c>
      <c r="C36" s="92" t="s">
        <v>95</v>
      </c>
      <c r="D36" s="92" t="s">
        <v>4</v>
      </c>
      <c r="E36" s="93" t="s">
        <v>99</v>
      </c>
      <c r="F36" s="235"/>
    </row>
    <row r="37" spans="1:6" ht="18.75" x14ac:dyDescent="0.25">
      <c r="A37" s="232"/>
      <c r="B37" s="72">
        <v>45416</v>
      </c>
      <c r="C37" s="155" t="s">
        <v>129</v>
      </c>
      <c r="D37" s="145" t="s">
        <v>4</v>
      </c>
      <c r="E37" s="93" t="s">
        <v>99</v>
      </c>
      <c r="F37" s="235"/>
    </row>
    <row r="38" spans="1:6" ht="18.75" x14ac:dyDescent="0.25">
      <c r="A38" s="232"/>
      <c r="B38" s="72">
        <v>45423</v>
      </c>
      <c r="C38" s="92" t="s">
        <v>5</v>
      </c>
      <c r="D38" s="109" t="s">
        <v>95</v>
      </c>
      <c r="E38" s="93" t="s">
        <v>99</v>
      </c>
      <c r="F38" s="235"/>
    </row>
    <row r="39" spans="1:6" ht="18.75" x14ac:dyDescent="0.25">
      <c r="A39" s="232"/>
      <c r="B39" s="72">
        <v>45430</v>
      </c>
      <c r="C39" s="109" t="s">
        <v>2</v>
      </c>
      <c r="D39" s="156" t="s">
        <v>4</v>
      </c>
      <c r="E39" s="93" t="s">
        <v>99</v>
      </c>
      <c r="F39" s="235"/>
    </row>
    <row r="40" spans="1:6" ht="18.75" x14ac:dyDescent="0.25">
      <c r="A40" s="232"/>
      <c r="B40" s="72">
        <v>45437</v>
      </c>
      <c r="C40" s="145" t="s">
        <v>5</v>
      </c>
      <c r="D40" s="92" t="s">
        <v>4</v>
      </c>
      <c r="E40" s="150" t="s">
        <v>128</v>
      </c>
      <c r="F40" s="235"/>
    </row>
    <row r="41" spans="1:6" ht="18.75" x14ac:dyDescent="0.25">
      <c r="A41" s="232"/>
      <c r="B41" s="72">
        <v>45444</v>
      </c>
      <c r="C41" s="156" t="s">
        <v>4</v>
      </c>
      <c r="D41" s="92" t="s">
        <v>5</v>
      </c>
      <c r="E41" s="93" t="s">
        <v>99</v>
      </c>
      <c r="F41" s="235"/>
    </row>
    <row r="42" spans="1:6" ht="18.75" x14ac:dyDescent="0.25">
      <c r="A42" s="232"/>
      <c r="B42" s="72">
        <v>45451</v>
      </c>
      <c r="C42" s="145" t="s">
        <v>5</v>
      </c>
      <c r="D42" s="92" t="s">
        <v>2</v>
      </c>
      <c r="E42" s="150"/>
      <c r="F42" s="235"/>
    </row>
    <row r="43" spans="1:6" ht="18.75" x14ac:dyDescent="0.25">
      <c r="A43" s="232"/>
      <c r="B43" s="110">
        <v>45458</v>
      </c>
      <c r="C43" s="111" t="s">
        <v>4</v>
      </c>
      <c r="D43" s="157" t="s">
        <v>2</v>
      </c>
      <c r="E43" s="112" t="s">
        <v>99</v>
      </c>
      <c r="F43" s="235"/>
    </row>
    <row r="44" spans="1:6" ht="18.75" x14ac:dyDescent="0.25">
      <c r="A44" s="232"/>
      <c r="B44" s="113">
        <v>45465</v>
      </c>
      <c r="C44" s="146" t="s">
        <v>5</v>
      </c>
      <c r="D44" s="114" t="s">
        <v>95</v>
      </c>
      <c r="E44" s="115" t="s">
        <v>99</v>
      </c>
      <c r="F44" s="235"/>
    </row>
    <row r="45" spans="1:6" ht="15.75" thickBot="1" x14ac:dyDescent="0.3">
      <c r="A45" s="233"/>
      <c r="B45" s="90"/>
      <c r="C45" s="90"/>
      <c r="D45" s="90"/>
      <c r="E45" s="90"/>
      <c r="F45" s="236"/>
    </row>
  </sheetData>
  <mergeCells count="6">
    <mergeCell ref="P1:Q1"/>
    <mergeCell ref="A1:A45"/>
    <mergeCell ref="C1:D1"/>
    <mergeCell ref="F1:F45"/>
    <mergeCell ref="C6:E6"/>
    <mergeCell ref="C9:D9"/>
  </mergeCells>
  <pageMargins left="0.25" right="0.25" top="0.75" bottom="0.75" header="0.3" footer="0.3"/>
  <pageSetup paperSize="9" scale="87" fitToWidth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9B22A-58C5-48AD-96DF-36BBD6BDF41F}">
  <dimension ref="A1:M93"/>
  <sheetViews>
    <sheetView topLeftCell="A61" workbookViewId="0">
      <selection activeCell="L41" sqref="L41"/>
    </sheetView>
  </sheetViews>
  <sheetFormatPr baseColWidth="10" defaultRowHeight="15" x14ac:dyDescent="0.25"/>
  <cols>
    <col min="1" max="1" width="2" customWidth="1"/>
    <col min="2" max="2" width="14.28515625" bestFit="1" customWidth="1"/>
    <col min="3" max="3" width="12.7109375" customWidth="1"/>
    <col min="4" max="4" width="17.7109375" customWidth="1"/>
    <col min="5" max="5" width="11.7109375" customWidth="1"/>
    <col min="6" max="6" width="2.28515625" customWidth="1"/>
    <col min="11" max="13" width="17.7109375" customWidth="1"/>
    <col min="14" max="14" width="24.28515625" customWidth="1"/>
    <col min="15" max="15" width="17.7109375" customWidth="1"/>
    <col min="18" max="18" width="27.28515625" customWidth="1"/>
  </cols>
  <sheetData>
    <row r="1" spans="1:9" ht="18.75" customHeight="1" x14ac:dyDescent="0.25">
      <c r="A1" s="231"/>
      <c r="B1" s="70" t="s">
        <v>11</v>
      </c>
      <c r="C1" s="246" t="s">
        <v>12</v>
      </c>
      <c r="D1" s="246"/>
      <c r="E1" s="71"/>
      <c r="F1" s="255"/>
    </row>
    <row r="2" spans="1:9" ht="18.75" x14ac:dyDescent="0.25">
      <c r="A2" s="232"/>
      <c r="B2" s="72">
        <v>44807</v>
      </c>
      <c r="C2" s="73" t="s">
        <v>96</v>
      </c>
      <c r="D2" s="73" t="s">
        <v>6</v>
      </c>
      <c r="E2" s="74" t="s">
        <v>99</v>
      </c>
      <c r="F2" s="256"/>
      <c r="H2" t="s">
        <v>95</v>
      </c>
      <c r="I2">
        <v>10</v>
      </c>
    </row>
    <row r="3" spans="1:9" ht="18.75" x14ac:dyDescent="0.25">
      <c r="A3" s="232"/>
      <c r="B3" s="72">
        <v>44814</v>
      </c>
      <c r="C3" s="73" t="s">
        <v>1</v>
      </c>
      <c r="D3" s="73" t="s">
        <v>5</v>
      </c>
      <c r="E3" s="74" t="s">
        <v>99</v>
      </c>
      <c r="F3" s="256"/>
      <c r="H3" t="s">
        <v>1</v>
      </c>
      <c r="I3">
        <v>10</v>
      </c>
    </row>
    <row r="4" spans="1:9" ht="18.75" x14ac:dyDescent="0.25">
      <c r="A4" s="232"/>
      <c r="B4" s="72">
        <v>44821</v>
      </c>
      <c r="C4" s="73" t="s">
        <v>2</v>
      </c>
      <c r="D4" s="73" t="s">
        <v>4</v>
      </c>
      <c r="E4" s="74" t="s">
        <v>99</v>
      </c>
      <c r="F4" s="256"/>
      <c r="H4" t="s">
        <v>2</v>
      </c>
      <c r="I4">
        <v>10</v>
      </c>
    </row>
    <row r="5" spans="1:9" ht="18.75" x14ac:dyDescent="0.25">
      <c r="A5" s="232"/>
      <c r="B5" s="72">
        <v>44828</v>
      </c>
      <c r="C5" s="75" t="s">
        <v>6</v>
      </c>
      <c r="D5" s="73" t="s">
        <v>95</v>
      </c>
      <c r="E5" s="74" t="s">
        <v>99</v>
      </c>
      <c r="F5" s="256"/>
      <c r="H5" t="s">
        <v>96</v>
      </c>
      <c r="I5">
        <v>10</v>
      </c>
    </row>
    <row r="6" spans="1:9" ht="18.75" x14ac:dyDescent="0.25">
      <c r="A6" s="232"/>
      <c r="B6" s="72">
        <v>44835</v>
      </c>
      <c r="C6" s="75" t="s">
        <v>4</v>
      </c>
      <c r="D6" s="75" t="s">
        <v>96</v>
      </c>
      <c r="E6" s="74" t="s">
        <v>99</v>
      </c>
      <c r="F6" s="256"/>
      <c r="H6" t="s">
        <v>6</v>
      </c>
      <c r="I6">
        <v>10</v>
      </c>
    </row>
    <row r="7" spans="1:9" ht="18.75" x14ac:dyDescent="0.25">
      <c r="A7" s="232"/>
      <c r="B7" s="72">
        <v>44842</v>
      </c>
      <c r="C7" s="75" t="s">
        <v>5</v>
      </c>
      <c r="D7" s="75" t="s">
        <v>1</v>
      </c>
      <c r="E7" s="74" t="s">
        <v>99</v>
      </c>
      <c r="F7" s="256"/>
      <c r="H7" t="s">
        <v>4</v>
      </c>
      <c r="I7">
        <v>10</v>
      </c>
    </row>
    <row r="8" spans="1:9" ht="18.75" x14ac:dyDescent="0.25">
      <c r="A8" s="232"/>
      <c r="B8" s="72">
        <v>44849</v>
      </c>
      <c r="C8" s="75" t="s">
        <v>95</v>
      </c>
      <c r="D8" s="75" t="s">
        <v>2</v>
      </c>
      <c r="E8" s="74" t="s">
        <v>99</v>
      </c>
      <c r="F8" s="256"/>
      <c r="H8" t="s">
        <v>5</v>
      </c>
      <c r="I8">
        <v>10</v>
      </c>
    </row>
    <row r="9" spans="1:9" ht="15" customHeight="1" x14ac:dyDescent="0.25">
      <c r="A9" s="232"/>
      <c r="B9" s="76">
        <v>44856</v>
      </c>
      <c r="C9" s="77"/>
      <c r="D9" s="77"/>
      <c r="E9" s="78"/>
      <c r="F9" s="256"/>
    </row>
    <row r="10" spans="1:9" ht="13.15" customHeight="1" x14ac:dyDescent="0.25">
      <c r="A10" s="232"/>
      <c r="B10" s="76">
        <v>44863</v>
      </c>
      <c r="C10" s="239"/>
      <c r="D10" s="239"/>
      <c r="E10" s="78"/>
      <c r="F10" s="256"/>
      <c r="G10" t="s">
        <v>100</v>
      </c>
    </row>
    <row r="11" spans="1:9" ht="18.75" x14ac:dyDescent="0.25">
      <c r="A11" s="232"/>
      <c r="B11" s="72">
        <v>44870</v>
      </c>
      <c r="C11" s="73" t="s">
        <v>1</v>
      </c>
      <c r="D11" s="73" t="s">
        <v>6</v>
      </c>
      <c r="E11" s="74" t="s">
        <v>99</v>
      </c>
      <c r="F11" s="256"/>
    </row>
    <row r="12" spans="1:9" ht="18.75" x14ac:dyDescent="0.25">
      <c r="A12" s="232"/>
      <c r="B12" s="72">
        <v>44877</v>
      </c>
      <c r="C12" s="73" t="s">
        <v>96</v>
      </c>
      <c r="D12" s="73" t="s">
        <v>95</v>
      </c>
      <c r="E12" s="74" t="s">
        <v>99</v>
      </c>
      <c r="F12" s="256"/>
    </row>
    <row r="13" spans="1:9" ht="18.75" x14ac:dyDescent="0.25">
      <c r="A13" s="232"/>
      <c r="B13" s="72">
        <v>44884</v>
      </c>
      <c r="C13" s="73" t="s">
        <v>2</v>
      </c>
      <c r="D13" s="73" t="s">
        <v>4</v>
      </c>
      <c r="E13" s="74" t="s">
        <v>99</v>
      </c>
      <c r="F13" s="256"/>
    </row>
    <row r="14" spans="1:9" ht="18.75" x14ac:dyDescent="0.25">
      <c r="A14" s="232"/>
      <c r="B14" s="72">
        <v>44891</v>
      </c>
      <c r="C14" s="75" t="s">
        <v>1</v>
      </c>
      <c r="D14" s="73" t="s">
        <v>5</v>
      </c>
      <c r="E14" s="74" t="s">
        <v>99</v>
      </c>
      <c r="F14" s="256"/>
    </row>
    <row r="15" spans="1:9" ht="18.75" x14ac:dyDescent="0.25">
      <c r="A15" s="232"/>
      <c r="B15" s="72">
        <v>44898</v>
      </c>
      <c r="C15" s="75" t="s">
        <v>95</v>
      </c>
      <c r="D15" s="75" t="s">
        <v>96</v>
      </c>
      <c r="E15" s="74" t="s">
        <v>99</v>
      </c>
      <c r="F15" s="256"/>
    </row>
    <row r="16" spans="1:9" ht="18.75" x14ac:dyDescent="0.25">
      <c r="A16" s="232"/>
      <c r="B16" s="72">
        <v>44905</v>
      </c>
      <c r="C16" s="75" t="s">
        <v>2</v>
      </c>
      <c r="D16" s="75" t="s">
        <v>4</v>
      </c>
      <c r="E16" s="74" t="s">
        <v>99</v>
      </c>
      <c r="F16" s="256"/>
    </row>
    <row r="17" spans="1:9" ht="18.75" x14ac:dyDescent="0.25">
      <c r="A17" s="232"/>
      <c r="B17" s="72">
        <v>44912</v>
      </c>
      <c r="C17" s="75" t="s">
        <v>6</v>
      </c>
      <c r="D17" s="75" t="s">
        <v>5</v>
      </c>
      <c r="E17" s="74" t="s">
        <v>99</v>
      </c>
      <c r="F17" s="256"/>
    </row>
    <row r="18" spans="1:9" ht="14.65" customHeight="1" x14ac:dyDescent="0.25">
      <c r="A18" s="232"/>
      <c r="B18" s="76">
        <v>44919</v>
      </c>
      <c r="C18" s="239"/>
      <c r="D18" s="239"/>
      <c r="E18" s="78"/>
      <c r="F18" s="256"/>
    </row>
    <row r="19" spans="1:9" ht="15.6" customHeight="1" x14ac:dyDescent="0.25">
      <c r="A19" s="232"/>
      <c r="B19" s="76">
        <v>44926</v>
      </c>
      <c r="C19" s="77"/>
      <c r="D19" s="77"/>
      <c r="E19" s="78"/>
      <c r="F19" s="256"/>
    </row>
    <row r="20" spans="1:9" ht="18.75" x14ac:dyDescent="0.25">
      <c r="A20" s="232"/>
      <c r="B20" s="79">
        <v>44933</v>
      </c>
      <c r="C20" s="80" t="s">
        <v>96</v>
      </c>
      <c r="D20" s="80" t="s">
        <v>1</v>
      </c>
      <c r="E20" s="81" t="s">
        <v>99</v>
      </c>
      <c r="F20" s="256"/>
    </row>
    <row r="21" spans="1:9" ht="18.75" x14ac:dyDescent="0.25">
      <c r="A21" s="232"/>
      <c r="B21" s="72">
        <v>44940</v>
      </c>
      <c r="C21" s="73" t="s">
        <v>2</v>
      </c>
      <c r="D21" s="73" t="s">
        <v>6</v>
      </c>
      <c r="E21" s="74" t="s">
        <v>99</v>
      </c>
      <c r="F21" s="256"/>
    </row>
    <row r="22" spans="1:9" ht="18.75" x14ac:dyDescent="0.25">
      <c r="A22" s="232"/>
      <c r="B22" s="72">
        <v>44947</v>
      </c>
      <c r="C22" s="73" t="s">
        <v>5</v>
      </c>
      <c r="D22" s="73" t="s">
        <v>4</v>
      </c>
      <c r="E22" s="74" t="s">
        <v>99</v>
      </c>
      <c r="F22" s="256"/>
    </row>
    <row r="23" spans="1:9" ht="18.75" x14ac:dyDescent="0.25">
      <c r="A23" s="232"/>
      <c r="B23" s="72">
        <v>44954</v>
      </c>
      <c r="C23" s="75" t="s">
        <v>1</v>
      </c>
      <c r="D23" s="73" t="s">
        <v>95</v>
      </c>
      <c r="E23" s="74" t="s">
        <v>99</v>
      </c>
      <c r="F23" s="256"/>
    </row>
    <row r="24" spans="1:9" ht="18.75" x14ac:dyDescent="0.25">
      <c r="A24" s="232"/>
      <c r="B24" s="72">
        <v>44961</v>
      </c>
      <c r="C24" s="75" t="s">
        <v>6</v>
      </c>
      <c r="D24" s="75" t="s">
        <v>2</v>
      </c>
      <c r="E24" s="74" t="s">
        <v>99</v>
      </c>
      <c r="F24" s="256"/>
    </row>
    <row r="25" spans="1:9" ht="18.75" x14ac:dyDescent="0.25">
      <c r="A25" s="232"/>
      <c r="B25" s="82">
        <v>44968</v>
      </c>
      <c r="C25" s="75" t="s">
        <v>4</v>
      </c>
      <c r="D25" s="75" t="s">
        <v>96</v>
      </c>
      <c r="E25" s="81" t="s">
        <v>99</v>
      </c>
      <c r="F25" s="256"/>
      <c r="I25" s="63"/>
    </row>
    <row r="26" spans="1:9" ht="15" customHeight="1" x14ac:dyDescent="0.25">
      <c r="A26" s="232"/>
      <c r="B26" s="76">
        <v>44975</v>
      </c>
      <c r="C26" s="83"/>
      <c r="D26" s="83"/>
      <c r="E26" s="78"/>
      <c r="F26" s="256"/>
    </row>
    <row r="27" spans="1:9" ht="15" customHeight="1" x14ac:dyDescent="0.25">
      <c r="A27" s="232"/>
      <c r="B27" s="76">
        <v>44982</v>
      </c>
      <c r="C27" s="83"/>
      <c r="D27" s="83"/>
      <c r="E27" s="78"/>
      <c r="F27" s="256"/>
    </row>
    <row r="28" spans="1:9" ht="18.75" x14ac:dyDescent="0.25">
      <c r="A28" s="232"/>
      <c r="B28" s="72">
        <v>44989</v>
      </c>
      <c r="C28" s="75" t="s">
        <v>5</v>
      </c>
      <c r="D28" s="75" t="s">
        <v>95</v>
      </c>
      <c r="E28" s="74" t="s">
        <v>99</v>
      </c>
      <c r="F28" s="256"/>
    </row>
    <row r="29" spans="1:9" ht="18.75" x14ac:dyDescent="0.25">
      <c r="A29" s="232"/>
      <c r="B29" s="72">
        <v>44996</v>
      </c>
      <c r="C29" s="73" t="s">
        <v>96</v>
      </c>
      <c r="D29" s="73" t="s">
        <v>5</v>
      </c>
      <c r="E29" s="74" t="s">
        <v>99</v>
      </c>
      <c r="F29" s="256"/>
    </row>
    <row r="30" spans="1:9" ht="18.75" x14ac:dyDescent="0.25">
      <c r="A30" s="232"/>
      <c r="B30" s="72">
        <v>45003</v>
      </c>
      <c r="C30" s="73" t="s">
        <v>2</v>
      </c>
      <c r="D30" s="73" t="s">
        <v>6</v>
      </c>
      <c r="E30" s="74" t="s">
        <v>99</v>
      </c>
      <c r="F30" s="256"/>
    </row>
    <row r="31" spans="1:9" ht="18.75" x14ac:dyDescent="0.25">
      <c r="A31" s="232"/>
      <c r="B31" s="72">
        <v>45010</v>
      </c>
      <c r="C31" s="73" t="s">
        <v>95</v>
      </c>
      <c r="D31" s="73" t="s">
        <v>1</v>
      </c>
      <c r="E31" s="74" t="s">
        <v>99</v>
      </c>
      <c r="F31" s="256"/>
    </row>
    <row r="32" spans="1:9" ht="18.75" x14ac:dyDescent="0.25">
      <c r="A32" s="232"/>
      <c r="B32" s="72">
        <v>45017</v>
      </c>
      <c r="C32" s="75" t="s">
        <v>96</v>
      </c>
      <c r="D32" s="73" t="s">
        <v>4</v>
      </c>
      <c r="E32" s="74" t="s">
        <v>99</v>
      </c>
      <c r="F32" s="256"/>
    </row>
    <row r="33" spans="1:6" ht="15" customHeight="1" x14ac:dyDescent="0.25">
      <c r="A33" s="232"/>
      <c r="B33" s="76">
        <v>45024</v>
      </c>
      <c r="C33" s="83"/>
      <c r="D33" s="77"/>
      <c r="E33" s="78"/>
      <c r="F33" s="256"/>
    </row>
    <row r="34" spans="1:6" ht="16.149999999999999" customHeight="1" x14ac:dyDescent="0.25">
      <c r="A34" s="232"/>
      <c r="B34" s="76">
        <v>45031</v>
      </c>
      <c r="C34" s="83"/>
      <c r="D34" s="77"/>
      <c r="E34" s="78"/>
      <c r="F34" s="256"/>
    </row>
    <row r="35" spans="1:6" ht="18.75" x14ac:dyDescent="0.25">
      <c r="A35" s="232"/>
      <c r="B35" s="84">
        <v>45038</v>
      </c>
      <c r="C35" s="85" t="s">
        <v>95</v>
      </c>
      <c r="D35" s="85" t="s">
        <v>5</v>
      </c>
      <c r="E35" s="81" t="s">
        <v>99</v>
      </c>
      <c r="F35" s="256"/>
    </row>
    <row r="36" spans="1:6" ht="18.75" x14ac:dyDescent="0.25">
      <c r="A36" s="232"/>
      <c r="B36" s="72">
        <v>45045</v>
      </c>
      <c r="C36" s="75" t="s">
        <v>4</v>
      </c>
      <c r="D36" s="75" t="s">
        <v>1</v>
      </c>
      <c r="E36" s="74" t="s">
        <v>99</v>
      </c>
      <c r="F36" s="256"/>
    </row>
    <row r="37" spans="1:6" ht="18.75" x14ac:dyDescent="0.25">
      <c r="A37" s="232"/>
      <c r="B37" s="72">
        <v>45052</v>
      </c>
      <c r="C37" s="75" t="s">
        <v>6</v>
      </c>
      <c r="D37" s="75" t="s">
        <v>2</v>
      </c>
      <c r="E37" s="74" t="s">
        <v>99</v>
      </c>
      <c r="F37" s="256"/>
    </row>
    <row r="38" spans="1:6" ht="18.75" x14ac:dyDescent="0.25">
      <c r="A38" s="232"/>
      <c r="B38" s="72">
        <v>45059</v>
      </c>
      <c r="C38" s="73" t="s">
        <v>1</v>
      </c>
      <c r="D38" s="73" t="s">
        <v>5</v>
      </c>
      <c r="E38" s="74" t="s">
        <v>99</v>
      </c>
      <c r="F38" s="256"/>
    </row>
    <row r="39" spans="1:6" ht="18.75" x14ac:dyDescent="0.25">
      <c r="A39" s="232"/>
      <c r="B39" s="72">
        <v>45066</v>
      </c>
      <c r="C39" s="73" t="s">
        <v>96</v>
      </c>
      <c r="D39" s="73" t="s">
        <v>2</v>
      </c>
      <c r="E39" s="74" t="s">
        <v>99</v>
      </c>
      <c r="F39" s="256"/>
    </row>
    <row r="40" spans="1:6" ht="18.75" x14ac:dyDescent="0.25">
      <c r="A40" s="232"/>
      <c r="B40" s="72">
        <v>45073</v>
      </c>
      <c r="C40" s="73" t="s">
        <v>95</v>
      </c>
      <c r="D40" s="73" t="s">
        <v>4</v>
      </c>
      <c r="E40" s="74" t="s">
        <v>99</v>
      </c>
      <c r="F40" s="256"/>
    </row>
    <row r="41" spans="1:6" ht="18.75" x14ac:dyDescent="0.25">
      <c r="A41" s="232"/>
      <c r="B41" s="72">
        <v>45080</v>
      </c>
      <c r="C41" s="75" t="s">
        <v>2</v>
      </c>
      <c r="D41" s="73" t="s">
        <v>6</v>
      </c>
      <c r="E41" s="74" t="s">
        <v>99</v>
      </c>
      <c r="F41" s="256"/>
    </row>
    <row r="42" spans="1:6" ht="18.75" x14ac:dyDescent="0.25">
      <c r="A42" s="232"/>
      <c r="B42" s="72">
        <v>45087</v>
      </c>
      <c r="C42" s="75" t="s">
        <v>1</v>
      </c>
      <c r="D42" s="75" t="s">
        <v>95</v>
      </c>
      <c r="E42" s="74" t="s">
        <v>99</v>
      </c>
      <c r="F42" s="256"/>
    </row>
    <row r="43" spans="1:6" ht="18.75" x14ac:dyDescent="0.25">
      <c r="A43" s="232"/>
      <c r="B43" s="72">
        <v>45094</v>
      </c>
      <c r="C43" s="75" t="s">
        <v>4</v>
      </c>
      <c r="D43" s="75" t="s">
        <v>6</v>
      </c>
      <c r="E43" s="74" t="s">
        <v>99</v>
      </c>
      <c r="F43" s="256"/>
    </row>
    <row r="44" spans="1:6" ht="18.75" x14ac:dyDescent="0.25">
      <c r="A44" s="232"/>
      <c r="B44" s="86">
        <v>45101</v>
      </c>
      <c r="C44" s="88" t="s">
        <v>96</v>
      </c>
      <c r="D44" s="88" t="s">
        <v>5</v>
      </c>
      <c r="E44" s="87" t="s">
        <v>99</v>
      </c>
      <c r="F44" s="256"/>
    </row>
    <row r="45" spans="1:6" ht="9" customHeight="1" thickBot="1" x14ac:dyDescent="0.3">
      <c r="A45" s="233"/>
      <c r="B45" s="254"/>
      <c r="C45" s="254"/>
      <c r="D45" s="254"/>
      <c r="E45" s="254"/>
      <c r="F45" s="236"/>
    </row>
    <row r="48" spans="1:6" ht="15.75" thickBot="1" x14ac:dyDescent="0.3"/>
    <row r="49" spans="1:13" ht="21" x14ac:dyDescent="0.35">
      <c r="A49" s="231"/>
      <c r="B49" s="70" t="s">
        <v>11</v>
      </c>
      <c r="C49" s="246" t="s">
        <v>12</v>
      </c>
      <c r="D49" s="246"/>
      <c r="E49" s="71"/>
      <c r="F49" s="255"/>
      <c r="H49" s="121" t="s">
        <v>124</v>
      </c>
    </row>
    <row r="50" spans="1:13" ht="26.25" x14ac:dyDescent="0.4">
      <c r="A50" s="232"/>
      <c r="B50" s="72">
        <v>44807</v>
      </c>
      <c r="C50" s="73" t="s">
        <v>1</v>
      </c>
      <c r="D50" s="73" t="s">
        <v>6</v>
      </c>
      <c r="E50" s="74" t="s">
        <v>99</v>
      </c>
      <c r="F50" s="256"/>
      <c r="G50" s="94" t="s">
        <v>102</v>
      </c>
      <c r="H50" s="116"/>
      <c r="L50" t="s">
        <v>95</v>
      </c>
      <c r="M50">
        <v>10</v>
      </c>
    </row>
    <row r="51" spans="1:13" ht="18.75" x14ac:dyDescent="0.25">
      <c r="A51" s="232"/>
      <c r="B51" s="72">
        <v>44814</v>
      </c>
      <c r="C51" s="73" t="s">
        <v>96</v>
      </c>
      <c r="D51" s="73" t="s">
        <v>4</v>
      </c>
      <c r="E51" s="74" t="s">
        <v>99</v>
      </c>
      <c r="F51" s="256"/>
      <c r="L51" t="s">
        <v>1</v>
      </c>
      <c r="M51">
        <v>10</v>
      </c>
    </row>
    <row r="52" spans="1:13" ht="26.25" x14ac:dyDescent="0.4">
      <c r="A52" s="232"/>
      <c r="B52" s="72">
        <v>44821</v>
      </c>
      <c r="C52" s="73" t="s">
        <v>2</v>
      </c>
      <c r="D52" s="73" t="s">
        <v>5</v>
      </c>
      <c r="E52" s="74" t="s">
        <v>99</v>
      </c>
      <c r="F52" s="256"/>
      <c r="G52" s="95" t="s">
        <v>103</v>
      </c>
      <c r="H52" s="95"/>
      <c r="L52" t="s">
        <v>2</v>
      </c>
      <c r="M52">
        <v>10</v>
      </c>
    </row>
    <row r="53" spans="1:13" ht="18.75" x14ac:dyDescent="0.25">
      <c r="A53" s="232"/>
      <c r="B53" s="72">
        <v>44828</v>
      </c>
      <c r="C53" s="75" t="s">
        <v>6</v>
      </c>
      <c r="D53" s="73" t="s">
        <v>117</v>
      </c>
      <c r="E53" s="74" t="s">
        <v>99</v>
      </c>
      <c r="F53" s="256"/>
      <c r="G53" s="117" t="s">
        <v>118</v>
      </c>
      <c r="H53" s="117"/>
      <c r="I53" s="117"/>
      <c r="L53" t="s">
        <v>96</v>
      </c>
      <c r="M53">
        <v>10</v>
      </c>
    </row>
    <row r="54" spans="1:13" ht="18.75" x14ac:dyDescent="0.25">
      <c r="A54" s="232"/>
      <c r="B54" s="72">
        <v>44835</v>
      </c>
      <c r="C54" s="75" t="s">
        <v>5</v>
      </c>
      <c r="D54" s="73" t="s">
        <v>2</v>
      </c>
      <c r="E54" s="74" t="s">
        <v>99</v>
      </c>
      <c r="F54" s="256"/>
      <c r="L54" t="s">
        <v>6</v>
      </c>
      <c r="M54">
        <v>10</v>
      </c>
    </row>
    <row r="55" spans="1:13" ht="18.75" x14ac:dyDescent="0.25">
      <c r="A55" s="232"/>
      <c r="B55" s="72">
        <v>44842</v>
      </c>
      <c r="C55" s="75" t="s">
        <v>4</v>
      </c>
      <c r="D55" s="75" t="s">
        <v>1</v>
      </c>
      <c r="E55" s="74" t="s">
        <v>99</v>
      </c>
      <c r="F55" s="256"/>
      <c r="L55" t="s">
        <v>4</v>
      </c>
      <c r="M55">
        <v>10</v>
      </c>
    </row>
    <row r="56" spans="1:13" ht="18.75" x14ac:dyDescent="0.25">
      <c r="A56" s="232"/>
      <c r="B56" s="72">
        <v>44849</v>
      </c>
      <c r="C56" s="75" t="s">
        <v>95</v>
      </c>
      <c r="D56" s="118" t="s">
        <v>101</v>
      </c>
      <c r="E56" s="74" t="s">
        <v>99</v>
      </c>
      <c r="F56" s="256"/>
      <c r="L56" t="s">
        <v>5</v>
      </c>
      <c r="M56">
        <v>10</v>
      </c>
    </row>
    <row r="57" spans="1:13" ht="18.75" x14ac:dyDescent="0.25">
      <c r="A57" s="232"/>
      <c r="B57" s="76">
        <v>44856</v>
      </c>
      <c r="C57" s="89"/>
      <c r="D57" s="89"/>
      <c r="E57" s="78"/>
      <c r="F57" s="256"/>
    </row>
    <row r="58" spans="1:13" ht="18.75" x14ac:dyDescent="0.25">
      <c r="A58" s="232"/>
      <c r="B58" s="76">
        <v>44863</v>
      </c>
      <c r="C58" s="239"/>
      <c r="D58" s="239"/>
      <c r="E58" s="78"/>
      <c r="F58" s="256"/>
      <c r="K58" t="s">
        <v>100</v>
      </c>
    </row>
    <row r="59" spans="1:13" ht="18.75" x14ac:dyDescent="0.25">
      <c r="A59" s="232"/>
      <c r="B59" s="72">
        <v>44870</v>
      </c>
      <c r="C59" s="73" t="s">
        <v>1</v>
      </c>
      <c r="D59" s="73" t="s">
        <v>6</v>
      </c>
      <c r="E59" s="74" t="s">
        <v>99</v>
      </c>
      <c r="F59" s="256"/>
    </row>
    <row r="60" spans="1:13" ht="18.75" x14ac:dyDescent="0.25">
      <c r="A60" s="232"/>
      <c r="B60" s="72">
        <v>44877</v>
      </c>
      <c r="C60" s="73" t="s">
        <v>101</v>
      </c>
      <c r="D60" s="73" t="s">
        <v>95</v>
      </c>
      <c r="E60" s="74" t="s">
        <v>99</v>
      </c>
      <c r="F60" s="256"/>
    </row>
    <row r="61" spans="1:13" ht="18.75" x14ac:dyDescent="0.25">
      <c r="A61" s="232"/>
      <c r="B61" s="72">
        <v>44884</v>
      </c>
      <c r="C61" s="73" t="s">
        <v>2</v>
      </c>
      <c r="D61" s="73" t="s">
        <v>4</v>
      </c>
      <c r="E61" s="74" t="s">
        <v>99</v>
      </c>
      <c r="F61" s="256"/>
      <c r="H61" s="98" t="s">
        <v>106</v>
      </c>
    </row>
    <row r="62" spans="1:13" ht="18.75" x14ac:dyDescent="0.25">
      <c r="A62" s="232"/>
      <c r="B62" s="72">
        <v>44891</v>
      </c>
      <c r="C62" s="75" t="s">
        <v>1</v>
      </c>
      <c r="D62" s="73" t="s">
        <v>5</v>
      </c>
      <c r="E62" s="74" t="s">
        <v>99</v>
      </c>
      <c r="F62" s="256"/>
    </row>
    <row r="63" spans="1:13" ht="18.75" x14ac:dyDescent="0.25">
      <c r="A63" s="232"/>
      <c r="B63" s="72">
        <v>44898</v>
      </c>
      <c r="C63" s="119" t="s">
        <v>4</v>
      </c>
      <c r="D63" s="75" t="s">
        <v>101</v>
      </c>
      <c r="E63" s="74" t="s">
        <v>99</v>
      </c>
      <c r="F63" s="256"/>
      <c r="H63" t="s">
        <v>119</v>
      </c>
    </row>
    <row r="64" spans="1:13" ht="18.75" x14ac:dyDescent="0.25">
      <c r="A64" s="232"/>
      <c r="B64" s="72">
        <v>44905</v>
      </c>
      <c r="C64" s="75" t="s">
        <v>2</v>
      </c>
      <c r="D64" s="75" t="s">
        <v>4</v>
      </c>
      <c r="E64" s="74" t="s">
        <v>99</v>
      </c>
      <c r="F64" s="256"/>
      <c r="H64" t="s">
        <v>120</v>
      </c>
    </row>
    <row r="65" spans="1:9" ht="18.75" x14ac:dyDescent="0.25">
      <c r="A65" s="232"/>
      <c r="B65" s="72">
        <v>44912</v>
      </c>
      <c r="C65" s="75" t="s">
        <v>6</v>
      </c>
      <c r="D65" s="75" t="s">
        <v>5</v>
      </c>
      <c r="E65" s="74" t="s">
        <v>99</v>
      </c>
      <c r="F65" s="256"/>
      <c r="H65" t="s">
        <v>121</v>
      </c>
    </row>
    <row r="66" spans="1:9" ht="18.75" x14ac:dyDescent="0.25">
      <c r="A66" s="232"/>
      <c r="B66" s="76">
        <v>44919</v>
      </c>
      <c r="C66" s="239"/>
      <c r="D66" s="239"/>
      <c r="E66" s="78"/>
      <c r="F66" s="256"/>
      <c r="H66" s="97" t="s">
        <v>122</v>
      </c>
    </row>
    <row r="67" spans="1:9" ht="18.75" x14ac:dyDescent="0.25">
      <c r="A67" s="232"/>
      <c r="B67" s="76">
        <v>44926</v>
      </c>
      <c r="C67" s="89"/>
      <c r="D67" s="89"/>
      <c r="E67" s="78"/>
      <c r="F67" s="256"/>
      <c r="H67" s="97" t="s">
        <v>123</v>
      </c>
    </row>
    <row r="68" spans="1:9" ht="18.75" x14ac:dyDescent="0.25">
      <c r="A68" s="232"/>
      <c r="B68" s="105">
        <v>44933</v>
      </c>
      <c r="C68" s="102"/>
      <c r="D68" s="102"/>
      <c r="E68" s="78"/>
      <c r="F68" s="256"/>
    </row>
    <row r="69" spans="1:9" ht="18.75" x14ac:dyDescent="0.25">
      <c r="A69" s="232"/>
      <c r="B69" s="72">
        <v>44940</v>
      </c>
      <c r="C69" s="73" t="s">
        <v>2</v>
      </c>
      <c r="D69" s="119" t="s">
        <v>95</v>
      </c>
      <c r="E69" s="74" t="s">
        <v>99</v>
      </c>
      <c r="F69" s="256"/>
    </row>
    <row r="70" spans="1:9" ht="18.75" x14ac:dyDescent="0.25">
      <c r="A70" s="232"/>
      <c r="B70" s="72">
        <v>44947</v>
      </c>
      <c r="C70" s="73" t="s">
        <v>5</v>
      </c>
      <c r="D70" s="119" t="s">
        <v>6</v>
      </c>
      <c r="E70" s="74" t="s">
        <v>99</v>
      </c>
      <c r="F70" s="256"/>
    </row>
    <row r="71" spans="1:9" ht="18.75" x14ac:dyDescent="0.25">
      <c r="A71" s="232"/>
      <c r="B71" s="72">
        <v>44954</v>
      </c>
      <c r="C71" s="75" t="s">
        <v>6</v>
      </c>
      <c r="D71" s="73" t="s">
        <v>95</v>
      </c>
      <c r="E71" s="74" t="s">
        <v>99</v>
      </c>
      <c r="F71" s="256"/>
    </row>
    <row r="72" spans="1:9" ht="18.75" x14ac:dyDescent="0.25">
      <c r="A72" s="232"/>
      <c r="B72" s="72">
        <v>44961</v>
      </c>
      <c r="C72" s="75" t="s">
        <v>1</v>
      </c>
      <c r="D72" s="75" t="s">
        <v>2</v>
      </c>
      <c r="E72" s="74" t="s">
        <v>99</v>
      </c>
      <c r="F72" s="256"/>
    </row>
    <row r="73" spans="1:9" ht="18.75" x14ac:dyDescent="0.25">
      <c r="A73" s="232"/>
      <c r="B73" s="82">
        <v>44968</v>
      </c>
      <c r="C73" s="75" t="s">
        <v>4</v>
      </c>
      <c r="D73" s="75" t="s">
        <v>101</v>
      </c>
      <c r="E73" s="81" t="s">
        <v>99</v>
      </c>
      <c r="F73" s="256"/>
      <c r="I73" s="63"/>
    </row>
    <row r="74" spans="1:9" ht="18.75" x14ac:dyDescent="0.25">
      <c r="A74" s="232"/>
      <c r="B74" s="76">
        <v>44975</v>
      </c>
      <c r="C74" s="83"/>
      <c r="D74" s="83"/>
      <c r="E74" s="78"/>
      <c r="F74" s="256"/>
    </row>
    <row r="75" spans="1:9" ht="18.75" x14ac:dyDescent="0.25">
      <c r="A75" s="232"/>
      <c r="B75" s="76">
        <v>44982</v>
      </c>
      <c r="C75" s="83"/>
      <c r="D75" s="83"/>
      <c r="E75" s="78"/>
      <c r="F75" s="256"/>
    </row>
    <row r="76" spans="1:9" ht="18.75" x14ac:dyDescent="0.25">
      <c r="A76" s="232"/>
      <c r="B76" s="72">
        <v>44989</v>
      </c>
      <c r="C76" s="75" t="s">
        <v>5</v>
      </c>
      <c r="D76" s="119" t="s">
        <v>6</v>
      </c>
      <c r="E76" s="74" t="s">
        <v>99</v>
      </c>
      <c r="F76" s="256"/>
    </row>
    <row r="77" spans="1:9" ht="18.75" x14ac:dyDescent="0.25">
      <c r="A77" s="232"/>
      <c r="B77" s="72">
        <v>44996</v>
      </c>
      <c r="C77" s="73" t="s">
        <v>101</v>
      </c>
      <c r="D77" s="119" t="s">
        <v>95</v>
      </c>
      <c r="E77" s="74" t="s">
        <v>99</v>
      </c>
      <c r="F77" s="256"/>
    </row>
    <row r="78" spans="1:9" ht="18.75" x14ac:dyDescent="0.25">
      <c r="A78" s="232"/>
      <c r="B78" s="72">
        <v>45003</v>
      </c>
      <c r="C78" s="73" t="s">
        <v>2</v>
      </c>
      <c r="D78" s="73" t="s">
        <v>5</v>
      </c>
      <c r="E78" s="74" t="s">
        <v>99</v>
      </c>
      <c r="F78" s="256"/>
    </row>
    <row r="79" spans="1:9" ht="18.75" x14ac:dyDescent="0.25">
      <c r="A79" s="232"/>
      <c r="B79" s="72">
        <v>45010</v>
      </c>
      <c r="C79" s="119" t="s">
        <v>101</v>
      </c>
      <c r="D79" s="73" t="s">
        <v>1</v>
      </c>
      <c r="E79" s="74" t="s">
        <v>99</v>
      </c>
      <c r="F79" s="256"/>
    </row>
    <row r="80" spans="1:9" ht="18.75" x14ac:dyDescent="0.25">
      <c r="A80" s="232"/>
      <c r="B80" s="72">
        <v>45017</v>
      </c>
      <c r="C80" s="119" t="s">
        <v>95</v>
      </c>
      <c r="D80" s="73" t="s">
        <v>4</v>
      </c>
      <c r="E80" s="74" t="s">
        <v>99</v>
      </c>
      <c r="F80" s="256"/>
    </row>
    <row r="81" spans="1:6" ht="18.75" x14ac:dyDescent="0.25">
      <c r="A81" s="232"/>
      <c r="B81" s="76">
        <v>45024</v>
      </c>
      <c r="C81" s="83"/>
      <c r="D81" s="89"/>
      <c r="E81" s="78"/>
      <c r="F81" s="256"/>
    </row>
    <row r="82" spans="1:6" ht="18.75" x14ac:dyDescent="0.25">
      <c r="A82" s="232"/>
      <c r="B82" s="76">
        <v>45031</v>
      </c>
      <c r="C82" s="83"/>
      <c r="D82" s="89"/>
      <c r="E82" s="78"/>
      <c r="F82" s="256"/>
    </row>
    <row r="83" spans="1:6" ht="18.75" x14ac:dyDescent="0.25">
      <c r="A83" s="232"/>
      <c r="B83" s="84">
        <v>45038</v>
      </c>
      <c r="C83" s="85" t="s">
        <v>95</v>
      </c>
      <c r="D83" s="85" t="s">
        <v>5</v>
      </c>
      <c r="E83" s="81" t="s">
        <v>99</v>
      </c>
      <c r="F83" s="256"/>
    </row>
    <row r="84" spans="1:6" ht="18.75" x14ac:dyDescent="0.25">
      <c r="A84" s="232"/>
      <c r="B84" s="72">
        <v>45045</v>
      </c>
      <c r="C84" s="75" t="s">
        <v>4</v>
      </c>
      <c r="D84" s="75" t="s">
        <v>1</v>
      </c>
      <c r="E84" s="74" t="s">
        <v>99</v>
      </c>
      <c r="F84" s="256"/>
    </row>
    <row r="85" spans="1:6" ht="18.75" x14ac:dyDescent="0.25">
      <c r="A85" s="232"/>
      <c r="B85" s="72">
        <v>45052</v>
      </c>
      <c r="C85" s="75" t="s">
        <v>6</v>
      </c>
      <c r="D85" s="75" t="s">
        <v>2</v>
      </c>
      <c r="E85" s="74" t="s">
        <v>99</v>
      </c>
      <c r="F85" s="256"/>
    </row>
    <row r="86" spans="1:6" ht="18.75" x14ac:dyDescent="0.25">
      <c r="A86" s="232"/>
      <c r="B86" s="72">
        <v>45059</v>
      </c>
      <c r="C86" s="120" t="s">
        <v>95</v>
      </c>
      <c r="D86" s="73" t="s">
        <v>5</v>
      </c>
      <c r="E86" s="74" t="s">
        <v>99</v>
      </c>
      <c r="F86" s="256"/>
    </row>
    <row r="87" spans="1:6" ht="18.75" x14ac:dyDescent="0.25">
      <c r="A87" s="232"/>
      <c r="B87" s="72">
        <v>45066</v>
      </c>
      <c r="C87" s="73" t="s">
        <v>1</v>
      </c>
      <c r="D87" s="120" t="s">
        <v>101</v>
      </c>
      <c r="E87" s="74" t="s">
        <v>99</v>
      </c>
      <c r="F87" s="256"/>
    </row>
    <row r="88" spans="1:6" ht="18.75" x14ac:dyDescent="0.25">
      <c r="A88" s="232"/>
      <c r="B88" s="72">
        <v>45073</v>
      </c>
      <c r="C88" s="120" t="s">
        <v>4</v>
      </c>
      <c r="D88" s="73" t="s">
        <v>2</v>
      </c>
      <c r="E88" s="74" t="s">
        <v>99</v>
      </c>
      <c r="F88" s="256"/>
    </row>
    <row r="89" spans="1:6" ht="18.75" x14ac:dyDescent="0.25">
      <c r="A89" s="232"/>
      <c r="B89" s="72">
        <v>45080</v>
      </c>
      <c r="C89" s="75" t="s">
        <v>5</v>
      </c>
      <c r="D89" s="73" t="s">
        <v>6</v>
      </c>
      <c r="E89" s="74" t="s">
        <v>99</v>
      </c>
      <c r="F89" s="256"/>
    </row>
    <row r="90" spans="1:6" ht="18.75" x14ac:dyDescent="0.25">
      <c r="A90" s="232"/>
      <c r="B90" s="72">
        <v>45087</v>
      </c>
      <c r="C90" s="75" t="s">
        <v>4</v>
      </c>
      <c r="D90" s="75" t="s">
        <v>95</v>
      </c>
      <c r="E90" s="74" t="s">
        <v>99</v>
      </c>
      <c r="F90" s="256"/>
    </row>
    <row r="91" spans="1:6" ht="18.75" x14ac:dyDescent="0.25">
      <c r="A91" s="232"/>
      <c r="B91" s="72">
        <v>45094</v>
      </c>
      <c r="C91" s="75" t="s">
        <v>2</v>
      </c>
      <c r="D91" s="75" t="s">
        <v>1</v>
      </c>
      <c r="E91" s="74" t="s">
        <v>99</v>
      </c>
      <c r="F91" s="256"/>
    </row>
    <row r="92" spans="1:6" ht="18.75" x14ac:dyDescent="0.25">
      <c r="A92" s="232"/>
      <c r="B92" s="86">
        <v>45101</v>
      </c>
      <c r="C92" s="88" t="s">
        <v>101</v>
      </c>
      <c r="D92" s="88" t="s">
        <v>6</v>
      </c>
      <c r="E92" s="87" t="s">
        <v>99</v>
      </c>
      <c r="F92" s="256"/>
    </row>
    <row r="93" spans="1:6" ht="15.75" thickBot="1" x14ac:dyDescent="0.3">
      <c r="A93" s="233"/>
      <c r="B93" s="254"/>
      <c r="C93" s="254"/>
      <c r="D93" s="254"/>
      <c r="E93" s="254"/>
      <c r="F93" s="236"/>
    </row>
  </sheetData>
  <mergeCells count="12">
    <mergeCell ref="A93:F93"/>
    <mergeCell ref="C18:D18"/>
    <mergeCell ref="A45:F45"/>
    <mergeCell ref="A1:A44"/>
    <mergeCell ref="C1:D1"/>
    <mergeCell ref="F1:F44"/>
    <mergeCell ref="C10:D10"/>
    <mergeCell ref="A49:A92"/>
    <mergeCell ref="C49:D49"/>
    <mergeCell ref="F49:F92"/>
    <mergeCell ref="C58:D58"/>
    <mergeCell ref="C66:D66"/>
  </mergeCells>
  <pageMargins left="0.19685039370078741" right="0" top="0.19685039370078741" bottom="0.19685039370078741" header="0" footer="0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6"/>
  <sheetViews>
    <sheetView workbookViewId="0">
      <selection activeCell="C1" sqref="C1:D1"/>
    </sheetView>
  </sheetViews>
  <sheetFormatPr baseColWidth="10" defaultRowHeight="15" x14ac:dyDescent="0.25"/>
  <cols>
    <col min="1" max="1" width="1.42578125" customWidth="1"/>
    <col min="2" max="2" width="14.28515625" bestFit="1" customWidth="1"/>
    <col min="3" max="4" width="17.28515625" bestFit="1" customWidth="1"/>
    <col min="5" max="5" width="2" customWidth="1"/>
  </cols>
  <sheetData>
    <row r="1" spans="1:8" ht="39.75" customHeight="1" x14ac:dyDescent="0.25">
      <c r="A1" s="231"/>
      <c r="B1" s="61" t="s">
        <v>11</v>
      </c>
      <c r="C1" s="257" t="s">
        <v>12</v>
      </c>
      <c r="D1" s="257"/>
      <c r="E1" s="234"/>
    </row>
    <row r="2" spans="1:8" ht="18.75" x14ac:dyDescent="0.25">
      <c r="A2" s="232"/>
      <c r="B2" s="5">
        <v>44443</v>
      </c>
      <c r="C2" s="1" t="s">
        <v>0</v>
      </c>
      <c r="D2" s="1" t="s">
        <v>6</v>
      </c>
      <c r="E2" s="235"/>
      <c r="G2" t="s">
        <v>91</v>
      </c>
      <c r="H2">
        <v>10</v>
      </c>
    </row>
    <row r="3" spans="1:8" ht="18.75" x14ac:dyDescent="0.25">
      <c r="A3" s="232"/>
      <c r="B3" s="5">
        <v>44450</v>
      </c>
      <c r="C3" s="1" t="s">
        <v>1</v>
      </c>
      <c r="D3" s="1" t="s">
        <v>4</v>
      </c>
      <c r="E3" s="235"/>
      <c r="G3" t="s">
        <v>89</v>
      </c>
      <c r="H3">
        <v>9</v>
      </c>
    </row>
    <row r="4" spans="1:8" ht="18.75" x14ac:dyDescent="0.25">
      <c r="A4" s="232"/>
      <c r="B4" s="5">
        <v>44457</v>
      </c>
      <c r="C4" s="1" t="s">
        <v>2</v>
      </c>
      <c r="D4" s="1" t="s">
        <v>5</v>
      </c>
      <c r="E4" s="235"/>
      <c r="G4" t="s">
        <v>92</v>
      </c>
      <c r="H4">
        <v>9</v>
      </c>
    </row>
    <row r="5" spans="1:8" ht="18.75" x14ac:dyDescent="0.25">
      <c r="A5" s="232"/>
      <c r="B5" s="5">
        <v>44464</v>
      </c>
      <c r="C5" s="1" t="s">
        <v>6</v>
      </c>
      <c r="D5" s="1" t="s">
        <v>95</v>
      </c>
      <c r="E5" s="235"/>
      <c r="G5" t="s">
        <v>57</v>
      </c>
      <c r="H5">
        <v>10</v>
      </c>
    </row>
    <row r="6" spans="1:8" ht="18.75" x14ac:dyDescent="0.25">
      <c r="A6" s="232"/>
      <c r="B6" s="5">
        <v>44471</v>
      </c>
      <c r="C6" s="1" t="s">
        <v>4</v>
      </c>
      <c r="D6" s="1" t="s">
        <v>0</v>
      </c>
      <c r="E6" s="235"/>
      <c r="G6" t="s">
        <v>93</v>
      </c>
      <c r="H6">
        <v>10</v>
      </c>
    </row>
    <row r="7" spans="1:8" ht="18.75" x14ac:dyDescent="0.25">
      <c r="A7" s="232"/>
      <c r="B7" s="5">
        <v>44478</v>
      </c>
      <c r="C7" s="1" t="s">
        <v>5</v>
      </c>
      <c r="D7" s="1" t="s">
        <v>1</v>
      </c>
      <c r="E7" s="235"/>
      <c r="G7" t="s">
        <v>94</v>
      </c>
      <c r="H7">
        <v>9</v>
      </c>
    </row>
    <row r="8" spans="1:8" ht="18.75" x14ac:dyDescent="0.25">
      <c r="A8" s="232"/>
      <c r="B8" s="5">
        <v>44485</v>
      </c>
      <c r="C8" s="1" t="s">
        <v>95</v>
      </c>
      <c r="D8" s="1" t="s">
        <v>2</v>
      </c>
      <c r="E8" s="235"/>
      <c r="G8" t="s">
        <v>90</v>
      </c>
      <c r="H8">
        <v>9</v>
      </c>
    </row>
    <row r="9" spans="1:8" ht="18.75" x14ac:dyDescent="0.25">
      <c r="A9" s="232"/>
      <c r="B9" s="6">
        <v>44492</v>
      </c>
      <c r="C9" s="60"/>
      <c r="D9" s="60"/>
      <c r="E9" s="235"/>
    </row>
    <row r="10" spans="1:8" ht="18.75" x14ac:dyDescent="0.25">
      <c r="A10" s="232"/>
      <c r="B10" s="6">
        <v>44499</v>
      </c>
      <c r="C10" s="258"/>
      <c r="D10" s="258"/>
      <c r="E10" s="235"/>
      <c r="F10" t="s">
        <v>97</v>
      </c>
    </row>
    <row r="11" spans="1:8" ht="18.75" x14ac:dyDescent="0.25">
      <c r="A11" s="232"/>
      <c r="B11" s="5">
        <v>44506</v>
      </c>
      <c r="C11" s="1" t="s">
        <v>1</v>
      </c>
      <c r="D11" s="1" t="s">
        <v>6</v>
      </c>
      <c r="E11" s="235"/>
    </row>
    <row r="12" spans="1:8" ht="18.75" x14ac:dyDescent="0.25">
      <c r="A12" s="232"/>
      <c r="B12" s="5">
        <v>44513</v>
      </c>
      <c r="C12" s="1" t="s">
        <v>0</v>
      </c>
      <c r="D12" s="1" t="s">
        <v>4</v>
      </c>
      <c r="E12" s="235"/>
    </row>
    <row r="13" spans="1:8" ht="18.75" x14ac:dyDescent="0.25">
      <c r="A13" s="232"/>
      <c r="B13" s="5">
        <v>44520</v>
      </c>
      <c r="C13" s="1" t="s">
        <v>2</v>
      </c>
      <c r="D13" s="1" t="s">
        <v>5</v>
      </c>
      <c r="E13" s="235"/>
    </row>
    <row r="14" spans="1:8" ht="18.75" x14ac:dyDescent="0.25">
      <c r="A14" s="232"/>
      <c r="B14" s="5">
        <v>44527</v>
      </c>
      <c r="C14" s="1" t="s">
        <v>6</v>
      </c>
      <c r="D14" s="1" t="s">
        <v>95</v>
      </c>
      <c r="E14" s="235"/>
    </row>
    <row r="15" spans="1:8" ht="18.75" x14ac:dyDescent="0.25">
      <c r="A15" s="232"/>
      <c r="B15" s="5">
        <v>44534</v>
      </c>
      <c r="C15" s="1" t="s">
        <v>5</v>
      </c>
      <c r="D15" s="1" t="s">
        <v>0</v>
      </c>
      <c r="E15" s="235"/>
    </row>
    <row r="16" spans="1:8" ht="18.75" x14ac:dyDescent="0.25">
      <c r="A16" s="232"/>
      <c r="B16" s="5">
        <v>44541</v>
      </c>
      <c r="C16" s="1" t="s">
        <v>4</v>
      </c>
      <c r="D16" s="1" t="s">
        <v>1</v>
      </c>
      <c r="E16" s="235"/>
    </row>
    <row r="17" spans="1:8" ht="18.75" x14ac:dyDescent="0.25">
      <c r="A17" s="232"/>
      <c r="B17" s="5">
        <v>44548</v>
      </c>
      <c r="C17" s="1" t="s">
        <v>95</v>
      </c>
      <c r="D17" s="1" t="s">
        <v>2</v>
      </c>
      <c r="E17" s="235"/>
    </row>
    <row r="18" spans="1:8" ht="18.75" x14ac:dyDescent="0.25">
      <c r="A18" s="232"/>
      <c r="B18" s="6">
        <v>44555</v>
      </c>
      <c r="C18" s="258"/>
      <c r="D18" s="258"/>
      <c r="E18" s="235"/>
    </row>
    <row r="19" spans="1:8" ht="18.75" x14ac:dyDescent="0.25">
      <c r="A19" s="232"/>
      <c r="B19" s="6">
        <v>44562</v>
      </c>
      <c r="C19" s="64"/>
      <c r="D19" s="60"/>
      <c r="E19" s="235"/>
    </row>
    <row r="20" spans="1:8" ht="18.75" x14ac:dyDescent="0.25">
      <c r="A20" s="232"/>
      <c r="B20" s="65">
        <v>44569</v>
      </c>
      <c r="C20" s="68"/>
      <c r="D20" s="66"/>
      <c r="E20" s="235"/>
    </row>
    <row r="21" spans="1:8" ht="18.75" x14ac:dyDescent="0.25">
      <c r="A21" s="232"/>
      <c r="B21" s="5">
        <v>44576</v>
      </c>
      <c r="C21" s="1" t="s">
        <v>0</v>
      </c>
      <c r="D21" s="67" t="s">
        <v>6</v>
      </c>
      <c r="E21" s="235"/>
    </row>
    <row r="22" spans="1:8" ht="18.75" x14ac:dyDescent="0.25">
      <c r="A22" s="232"/>
      <c r="B22" s="5">
        <v>44583</v>
      </c>
      <c r="C22" s="1" t="s">
        <v>1</v>
      </c>
      <c r="D22" s="1" t="s">
        <v>4</v>
      </c>
      <c r="E22" s="235"/>
    </row>
    <row r="23" spans="1:8" ht="18.75" x14ac:dyDescent="0.25">
      <c r="A23" s="232"/>
      <c r="B23" s="5">
        <v>44590</v>
      </c>
      <c r="C23" s="1" t="s">
        <v>2</v>
      </c>
      <c r="D23" s="1" t="s">
        <v>5</v>
      </c>
      <c r="E23" s="235"/>
    </row>
    <row r="24" spans="1:8" ht="18.75" x14ac:dyDescent="0.25">
      <c r="A24" s="232"/>
      <c r="B24" s="5">
        <v>44597</v>
      </c>
      <c r="C24" s="1" t="s">
        <v>6</v>
      </c>
      <c r="D24" s="1" t="s">
        <v>95</v>
      </c>
      <c r="E24" s="235"/>
    </row>
    <row r="25" spans="1:8" ht="18.75" x14ac:dyDescent="0.25">
      <c r="A25" s="232"/>
      <c r="B25" s="6">
        <v>44604</v>
      </c>
      <c r="C25" s="60"/>
      <c r="D25" s="60"/>
      <c r="E25" s="235"/>
      <c r="H25" s="63"/>
    </row>
    <row r="26" spans="1:8" ht="18.75" x14ac:dyDescent="0.25">
      <c r="A26" s="232"/>
      <c r="B26" s="6">
        <v>44611</v>
      </c>
      <c r="C26" s="60"/>
      <c r="D26" s="60"/>
      <c r="E26" s="235"/>
    </row>
    <row r="27" spans="1:8" ht="18.75" x14ac:dyDescent="0.25">
      <c r="A27" s="232"/>
      <c r="B27" s="5">
        <v>44618</v>
      </c>
      <c r="C27" s="1" t="s">
        <v>4</v>
      </c>
      <c r="D27" s="1" t="s">
        <v>0</v>
      </c>
      <c r="E27" s="235"/>
    </row>
    <row r="28" spans="1:8" ht="18.75" x14ac:dyDescent="0.25">
      <c r="A28" s="232"/>
      <c r="B28" s="5">
        <v>44625</v>
      </c>
      <c r="C28" s="1" t="s">
        <v>5</v>
      </c>
      <c r="D28" s="1" t="s">
        <v>1</v>
      </c>
      <c r="E28" s="235"/>
    </row>
    <row r="29" spans="1:8" ht="18.75" x14ac:dyDescent="0.25">
      <c r="A29" s="232"/>
      <c r="B29" s="5">
        <v>44632</v>
      </c>
      <c r="C29" s="1" t="s">
        <v>95</v>
      </c>
      <c r="D29" s="1" t="s">
        <v>2</v>
      </c>
      <c r="E29" s="235"/>
    </row>
    <row r="30" spans="1:8" ht="18.75" x14ac:dyDescent="0.25">
      <c r="A30" s="232"/>
      <c r="B30" s="5">
        <v>44639</v>
      </c>
      <c r="C30" s="1" t="s">
        <v>96</v>
      </c>
      <c r="D30" s="1" t="s">
        <v>6</v>
      </c>
      <c r="E30" s="235"/>
    </row>
    <row r="31" spans="1:8" ht="18.75" x14ac:dyDescent="0.25">
      <c r="A31" s="232"/>
      <c r="B31" s="5">
        <v>44646</v>
      </c>
      <c r="C31" s="1" t="s">
        <v>1</v>
      </c>
      <c r="D31" s="1" t="s">
        <v>4</v>
      </c>
      <c r="E31" s="235"/>
    </row>
    <row r="32" spans="1:8" ht="18.75" x14ac:dyDescent="0.25">
      <c r="A32" s="232"/>
      <c r="B32" s="5">
        <v>44653</v>
      </c>
      <c r="C32" s="1" t="s">
        <v>2</v>
      </c>
      <c r="D32" s="1" t="s">
        <v>1</v>
      </c>
      <c r="E32" s="235"/>
    </row>
    <row r="33" spans="1:5" ht="18.75" x14ac:dyDescent="0.25">
      <c r="A33" s="232"/>
      <c r="B33" s="6">
        <v>44660</v>
      </c>
      <c r="C33" s="60"/>
      <c r="D33" s="60"/>
      <c r="E33" s="235"/>
    </row>
    <row r="34" spans="1:5" ht="18.75" x14ac:dyDescent="0.25">
      <c r="A34" s="232"/>
      <c r="B34" s="6">
        <v>44667</v>
      </c>
      <c r="C34" s="60"/>
      <c r="D34" s="60"/>
      <c r="E34" s="235"/>
    </row>
    <row r="35" spans="1:5" ht="18.75" x14ac:dyDescent="0.25">
      <c r="A35" s="232"/>
      <c r="B35" s="6">
        <v>44674</v>
      </c>
      <c r="C35" s="60"/>
      <c r="D35" s="60"/>
      <c r="E35" s="235"/>
    </row>
    <row r="36" spans="1:5" ht="18.75" x14ac:dyDescent="0.25">
      <c r="A36" s="232"/>
      <c r="B36" s="5">
        <v>44681</v>
      </c>
      <c r="C36" s="1" t="s">
        <v>6</v>
      </c>
      <c r="D36" s="1" t="s">
        <v>95</v>
      </c>
      <c r="E36" s="235"/>
    </row>
    <row r="37" spans="1:5" ht="18.75" x14ac:dyDescent="0.3">
      <c r="A37" s="232"/>
      <c r="B37" s="5">
        <v>44688</v>
      </c>
      <c r="C37" s="1" t="s">
        <v>4</v>
      </c>
      <c r="D37" s="69" t="s">
        <v>96</v>
      </c>
      <c r="E37" s="235"/>
    </row>
    <row r="38" spans="1:5" ht="18.75" x14ac:dyDescent="0.25">
      <c r="A38" s="232"/>
      <c r="B38" s="5">
        <v>44695</v>
      </c>
      <c r="C38" s="1" t="s">
        <v>5</v>
      </c>
      <c r="D38" s="1" t="s">
        <v>1</v>
      </c>
      <c r="E38" s="235"/>
    </row>
    <row r="39" spans="1:5" ht="18.75" x14ac:dyDescent="0.25">
      <c r="A39" s="232"/>
      <c r="B39" s="5">
        <v>44702</v>
      </c>
      <c r="C39" s="1" t="s">
        <v>95</v>
      </c>
      <c r="D39" s="1" t="s">
        <v>2</v>
      </c>
      <c r="E39" s="235"/>
    </row>
    <row r="40" spans="1:5" ht="18.75" x14ac:dyDescent="0.25">
      <c r="A40" s="232"/>
      <c r="B40" s="5">
        <v>44709</v>
      </c>
      <c r="C40" s="1" t="s">
        <v>96</v>
      </c>
      <c r="D40" s="1" t="s">
        <v>6</v>
      </c>
      <c r="E40" s="235"/>
    </row>
    <row r="41" spans="1:5" ht="18.75" x14ac:dyDescent="0.25">
      <c r="A41" s="232"/>
      <c r="B41" s="5">
        <v>44716</v>
      </c>
      <c r="C41" s="1" t="s">
        <v>5</v>
      </c>
      <c r="D41" s="1" t="s">
        <v>4</v>
      </c>
      <c r="E41" s="235"/>
    </row>
    <row r="42" spans="1:5" ht="18.75" x14ac:dyDescent="0.25">
      <c r="A42" s="232"/>
      <c r="B42" s="5">
        <v>44723</v>
      </c>
      <c r="C42" s="1" t="s">
        <v>2</v>
      </c>
      <c r="D42" s="1" t="s">
        <v>5</v>
      </c>
      <c r="E42" s="235"/>
    </row>
    <row r="43" spans="1:5" ht="18.75" x14ac:dyDescent="0.25">
      <c r="A43" s="232"/>
      <c r="B43" s="5">
        <v>44730</v>
      </c>
      <c r="C43" s="1" t="s">
        <v>6</v>
      </c>
      <c r="D43" s="1" t="s">
        <v>95</v>
      </c>
      <c r="E43" s="235"/>
    </row>
    <row r="44" spans="1:5" ht="18.75" x14ac:dyDescent="0.25">
      <c r="A44" s="232"/>
      <c r="B44" s="5">
        <v>44737</v>
      </c>
      <c r="C44" s="1" t="s">
        <v>4</v>
      </c>
      <c r="D44" s="1" t="s">
        <v>96</v>
      </c>
      <c r="E44" s="235"/>
    </row>
    <row r="45" spans="1:5" ht="15.75" thickBot="1" x14ac:dyDescent="0.3">
      <c r="A45" s="233"/>
      <c r="B45" s="254"/>
      <c r="C45" s="254"/>
      <c r="D45" s="254"/>
      <c r="E45" s="236"/>
    </row>
    <row r="46" spans="1:5" x14ac:dyDescent="0.25">
      <c r="E46" s="2"/>
    </row>
  </sheetData>
  <mergeCells count="6">
    <mergeCell ref="A45:E45"/>
    <mergeCell ref="A1:A44"/>
    <mergeCell ref="C1:D1"/>
    <mergeCell ref="E1:E44"/>
    <mergeCell ref="C10:D10"/>
    <mergeCell ref="C18:D18"/>
  </mergeCells>
  <printOptions horizontalCentered="1" verticalCentered="1" gridLines="1"/>
  <pageMargins left="0.70866141732283472" right="0.70866141732283472" top="0.74803149606299213" bottom="0.74803149606299213" header="0.31496062992125984" footer="0.31496062992125984"/>
  <pageSetup paperSize="9" scale="88" orientation="portrait" r:id="rId1"/>
  <headerFooter>
    <oddHeader>&amp;C&amp;"-,Gras"&amp;14&amp;A</oddHeader>
    <oddFooter>&amp;C&amp;"-,Gras"&amp;14&amp;D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47"/>
  <sheetViews>
    <sheetView topLeftCell="A25" workbookViewId="0">
      <selection activeCell="I9" sqref="I9"/>
    </sheetView>
  </sheetViews>
  <sheetFormatPr baseColWidth="10" defaultRowHeight="15" x14ac:dyDescent="0.25"/>
  <cols>
    <col min="1" max="1" width="1.42578125" customWidth="1"/>
    <col min="2" max="2" width="14.28515625" bestFit="1" customWidth="1"/>
    <col min="3" max="4" width="17.28515625" bestFit="1" customWidth="1"/>
    <col min="5" max="5" width="1.42578125" customWidth="1"/>
  </cols>
  <sheetData>
    <row r="1" spans="1:6" ht="39.75" customHeight="1" x14ac:dyDescent="0.25">
      <c r="A1" s="231"/>
      <c r="B1" s="4" t="s">
        <v>11</v>
      </c>
      <c r="C1" s="257" t="s">
        <v>12</v>
      </c>
      <c r="D1" s="257"/>
      <c r="E1" s="234"/>
    </row>
    <row r="2" spans="1:6" ht="18.75" x14ac:dyDescent="0.25">
      <c r="A2" s="232"/>
      <c r="B2" s="5">
        <v>44072</v>
      </c>
      <c r="C2" s="1" t="s">
        <v>0</v>
      </c>
      <c r="D2" s="1" t="s">
        <v>1</v>
      </c>
      <c r="E2" s="235"/>
    </row>
    <row r="3" spans="1:6" ht="18.75" x14ac:dyDescent="0.25">
      <c r="A3" s="232"/>
      <c r="B3" s="5">
        <v>44079</v>
      </c>
      <c r="C3" s="1" t="s">
        <v>2</v>
      </c>
      <c r="D3" s="1" t="s">
        <v>3</v>
      </c>
      <c r="E3" s="235"/>
      <c r="F3" t="s">
        <v>98</v>
      </c>
    </row>
    <row r="4" spans="1:6" ht="18.75" x14ac:dyDescent="0.25">
      <c r="A4" s="232"/>
      <c r="B4" s="5">
        <v>44086</v>
      </c>
      <c r="C4" s="1" t="s">
        <v>4</v>
      </c>
      <c r="D4" s="1" t="s">
        <v>5</v>
      </c>
      <c r="E4" s="235"/>
    </row>
    <row r="5" spans="1:6" ht="18.75" x14ac:dyDescent="0.25">
      <c r="A5" s="232"/>
      <c r="B5" s="5">
        <v>44093</v>
      </c>
      <c r="C5" s="1" t="s">
        <v>6</v>
      </c>
      <c r="D5" s="1" t="s">
        <v>0</v>
      </c>
      <c r="E5" s="235"/>
    </row>
    <row r="6" spans="1:6" ht="18.75" x14ac:dyDescent="0.25">
      <c r="A6" s="232"/>
      <c r="B6" s="5">
        <v>44100</v>
      </c>
      <c r="C6" s="1" t="s">
        <v>1</v>
      </c>
      <c r="D6" s="1" t="s">
        <v>2</v>
      </c>
      <c r="E6" s="235"/>
    </row>
    <row r="7" spans="1:6" ht="18.75" x14ac:dyDescent="0.25">
      <c r="A7" s="232"/>
      <c r="B7" s="5">
        <v>44107</v>
      </c>
      <c r="C7" s="1" t="s">
        <v>9</v>
      </c>
      <c r="D7" s="1" t="s">
        <v>4</v>
      </c>
      <c r="E7" s="235"/>
    </row>
    <row r="8" spans="1:6" ht="18.75" x14ac:dyDescent="0.25">
      <c r="A8" s="232"/>
      <c r="B8" s="5">
        <v>44114</v>
      </c>
      <c r="C8" s="1" t="s">
        <v>5</v>
      </c>
      <c r="D8" s="1" t="s">
        <v>7</v>
      </c>
      <c r="E8" s="235"/>
    </row>
    <row r="9" spans="1:6" ht="18.75" x14ac:dyDescent="0.25">
      <c r="A9" s="232"/>
      <c r="B9" s="6">
        <v>44121</v>
      </c>
      <c r="C9" s="3"/>
      <c r="D9" s="3"/>
      <c r="E9" s="235"/>
    </row>
    <row r="10" spans="1:6" ht="18.75" x14ac:dyDescent="0.25">
      <c r="A10" s="232"/>
      <c r="B10" s="6">
        <v>44128</v>
      </c>
      <c r="C10" s="258"/>
      <c r="D10" s="258"/>
      <c r="E10" s="235"/>
    </row>
    <row r="11" spans="1:6" ht="18.75" x14ac:dyDescent="0.25">
      <c r="A11" s="232"/>
      <c r="B11" s="5">
        <v>44135</v>
      </c>
      <c r="C11" s="59" t="s">
        <v>5</v>
      </c>
      <c r="D11" s="1" t="s">
        <v>1</v>
      </c>
      <c r="E11" s="235"/>
    </row>
    <row r="12" spans="1:6" ht="18.75" x14ac:dyDescent="0.25">
      <c r="A12" s="232"/>
      <c r="B12" s="5">
        <v>44142</v>
      </c>
      <c r="C12" s="1" t="s">
        <v>2</v>
      </c>
      <c r="D12" s="1" t="s">
        <v>9</v>
      </c>
      <c r="E12" s="235"/>
    </row>
    <row r="13" spans="1:6" ht="18.75" x14ac:dyDescent="0.25">
      <c r="A13" s="232"/>
      <c r="B13" s="5">
        <v>44149</v>
      </c>
      <c r="C13" s="1" t="s">
        <v>8</v>
      </c>
      <c r="D13" s="1" t="s">
        <v>5</v>
      </c>
      <c r="E13" s="235"/>
    </row>
    <row r="14" spans="1:6" ht="18.75" x14ac:dyDescent="0.25">
      <c r="A14" s="232"/>
      <c r="B14" s="5">
        <v>44156</v>
      </c>
      <c r="C14" s="1" t="s">
        <v>6</v>
      </c>
      <c r="D14" s="1" t="s">
        <v>4</v>
      </c>
      <c r="E14" s="235"/>
    </row>
    <row r="15" spans="1:6" ht="18.75" x14ac:dyDescent="0.25">
      <c r="A15" s="232"/>
      <c r="B15" s="5">
        <v>44163</v>
      </c>
      <c r="C15" s="1" t="s">
        <v>1</v>
      </c>
      <c r="D15" s="1" t="s">
        <v>2</v>
      </c>
      <c r="E15" s="235"/>
    </row>
    <row r="16" spans="1:6" ht="18.75" x14ac:dyDescent="0.25">
      <c r="A16" s="232"/>
      <c r="B16" s="5">
        <v>44170</v>
      </c>
      <c r="C16" s="1" t="s">
        <v>9</v>
      </c>
      <c r="D16" s="1" t="s">
        <v>4</v>
      </c>
      <c r="E16" s="235"/>
    </row>
    <row r="17" spans="1:5" ht="18.75" x14ac:dyDescent="0.25">
      <c r="A17" s="232"/>
      <c r="B17" s="5">
        <v>44177</v>
      </c>
      <c r="C17" s="59" t="s">
        <v>0</v>
      </c>
      <c r="D17" s="1" t="s">
        <v>7</v>
      </c>
      <c r="E17" s="235"/>
    </row>
    <row r="18" spans="1:5" ht="18.75" x14ac:dyDescent="0.25">
      <c r="A18" s="232"/>
      <c r="B18" s="6">
        <v>44184</v>
      </c>
      <c r="C18" s="258"/>
      <c r="D18" s="258"/>
      <c r="E18" s="235"/>
    </row>
    <row r="19" spans="1:5" ht="18.75" x14ac:dyDescent="0.25">
      <c r="A19" s="232"/>
      <c r="B19" s="6">
        <v>44191</v>
      </c>
      <c r="C19" s="3"/>
      <c r="D19" s="3"/>
      <c r="E19" s="235"/>
    </row>
    <row r="20" spans="1:5" ht="18.75" x14ac:dyDescent="0.25">
      <c r="A20" s="232"/>
      <c r="B20" s="6">
        <v>44198</v>
      </c>
      <c r="C20" s="3"/>
      <c r="D20" s="3"/>
      <c r="E20" s="235"/>
    </row>
    <row r="21" spans="1:5" ht="18.75" x14ac:dyDescent="0.25">
      <c r="A21" s="232"/>
      <c r="B21" s="5">
        <v>44205</v>
      </c>
      <c r="C21" s="1" t="s">
        <v>0</v>
      </c>
      <c r="D21" s="1" t="s">
        <v>1</v>
      </c>
      <c r="E21" s="235"/>
    </row>
    <row r="22" spans="1:5" ht="18.75" x14ac:dyDescent="0.25">
      <c r="A22" s="232"/>
      <c r="B22" s="5">
        <v>44212</v>
      </c>
      <c r="C22" s="1" t="s">
        <v>2</v>
      </c>
      <c r="D22" s="1" t="s">
        <v>10</v>
      </c>
      <c r="E22" s="235"/>
    </row>
    <row r="23" spans="1:5" ht="18.75" x14ac:dyDescent="0.25">
      <c r="A23" s="232"/>
      <c r="B23" s="5">
        <v>44219</v>
      </c>
      <c r="C23" s="1" t="s">
        <v>4</v>
      </c>
      <c r="D23" s="1" t="s">
        <v>5</v>
      </c>
      <c r="E23" s="235"/>
    </row>
    <row r="24" spans="1:5" ht="18.75" x14ac:dyDescent="0.25">
      <c r="A24" s="232"/>
      <c r="B24" s="5">
        <v>44226</v>
      </c>
      <c r="C24" s="1" t="s">
        <v>6</v>
      </c>
      <c r="D24" s="1" t="s">
        <v>0</v>
      </c>
      <c r="E24" s="235"/>
    </row>
    <row r="25" spans="1:5" ht="18.75" x14ac:dyDescent="0.25">
      <c r="A25" s="232"/>
      <c r="B25" s="5">
        <v>44233</v>
      </c>
      <c r="C25" s="1" t="s">
        <v>1</v>
      </c>
      <c r="D25" s="1" t="s">
        <v>2</v>
      </c>
      <c r="E25" s="235"/>
    </row>
    <row r="26" spans="1:5" ht="18.75" x14ac:dyDescent="0.25">
      <c r="A26" s="232"/>
      <c r="B26" s="6">
        <v>44240</v>
      </c>
      <c r="C26" s="3"/>
      <c r="D26" s="3"/>
      <c r="E26" s="235"/>
    </row>
    <row r="27" spans="1:5" ht="18.75" x14ac:dyDescent="0.25">
      <c r="A27" s="232"/>
      <c r="B27" s="6">
        <v>44247</v>
      </c>
      <c r="C27" s="258"/>
      <c r="D27" s="258"/>
      <c r="E27" s="235"/>
    </row>
    <row r="28" spans="1:5" ht="18.75" x14ac:dyDescent="0.25">
      <c r="A28" s="232"/>
      <c r="B28" s="5">
        <v>44254</v>
      </c>
      <c r="C28" s="1" t="s">
        <v>9</v>
      </c>
      <c r="D28" s="1" t="s">
        <v>4</v>
      </c>
      <c r="E28" s="235"/>
    </row>
    <row r="29" spans="1:5" ht="18.75" x14ac:dyDescent="0.25">
      <c r="A29" s="232"/>
      <c r="B29" s="5">
        <v>44261</v>
      </c>
      <c r="C29" s="1" t="s">
        <v>5</v>
      </c>
      <c r="D29" s="1" t="s">
        <v>7</v>
      </c>
      <c r="E29" s="235"/>
    </row>
    <row r="30" spans="1:5" ht="18.75" x14ac:dyDescent="0.25">
      <c r="A30" s="232"/>
      <c r="B30" s="5">
        <v>44268</v>
      </c>
      <c r="C30" s="59" t="s">
        <v>0</v>
      </c>
      <c r="D30" s="59" t="s">
        <v>4</v>
      </c>
      <c r="E30" s="235"/>
    </row>
    <row r="31" spans="1:5" ht="18.75" x14ac:dyDescent="0.25">
      <c r="A31" s="232"/>
      <c r="B31" s="5">
        <v>44275</v>
      </c>
      <c r="C31" s="59" t="s">
        <v>2</v>
      </c>
      <c r="D31" s="59" t="s">
        <v>3</v>
      </c>
      <c r="E31" s="235"/>
    </row>
    <row r="32" spans="1:5" ht="18.75" x14ac:dyDescent="0.25">
      <c r="A32" s="232"/>
      <c r="B32" s="5">
        <v>44282</v>
      </c>
      <c r="C32" s="59" t="s">
        <v>1</v>
      </c>
      <c r="D32" s="59" t="s">
        <v>5</v>
      </c>
      <c r="E32" s="235"/>
    </row>
    <row r="33" spans="1:5" ht="18.75" x14ac:dyDescent="0.25">
      <c r="A33" s="232"/>
      <c r="B33" s="6">
        <v>44289</v>
      </c>
      <c r="C33" s="3"/>
      <c r="D33" s="3"/>
      <c r="E33" s="235"/>
    </row>
    <row r="34" spans="1:5" ht="18.75" x14ac:dyDescent="0.25">
      <c r="A34" s="232"/>
      <c r="B34" s="6">
        <v>44296</v>
      </c>
      <c r="C34" s="3"/>
      <c r="D34" s="3"/>
      <c r="E34" s="235"/>
    </row>
    <row r="35" spans="1:5" ht="18.75" x14ac:dyDescent="0.25">
      <c r="A35" s="232"/>
      <c r="B35" s="5">
        <v>44303</v>
      </c>
      <c r="C35" s="1" t="s">
        <v>6</v>
      </c>
      <c r="D35" s="1" t="s">
        <v>0</v>
      </c>
      <c r="E35" s="235"/>
    </row>
    <row r="36" spans="1:5" ht="18.75" x14ac:dyDescent="0.25">
      <c r="A36" s="232"/>
      <c r="B36" s="5">
        <v>44310</v>
      </c>
      <c r="C36" s="1" t="s">
        <v>1</v>
      </c>
      <c r="D36" s="1" t="s">
        <v>2</v>
      </c>
      <c r="E36" s="235"/>
    </row>
    <row r="37" spans="1:5" ht="18.75" x14ac:dyDescent="0.25">
      <c r="A37" s="232"/>
      <c r="B37" s="5">
        <v>44317</v>
      </c>
      <c r="C37" s="1" t="s">
        <v>3</v>
      </c>
      <c r="D37" s="1" t="s">
        <v>4</v>
      </c>
      <c r="E37" s="235"/>
    </row>
    <row r="38" spans="1:5" ht="18.75" x14ac:dyDescent="0.25">
      <c r="A38" s="232"/>
      <c r="B38" s="5">
        <v>44324</v>
      </c>
      <c r="C38" s="1" t="s">
        <v>5</v>
      </c>
      <c r="D38" s="1" t="s">
        <v>7</v>
      </c>
      <c r="E38" s="235"/>
    </row>
    <row r="39" spans="1:5" ht="18.75" x14ac:dyDescent="0.25">
      <c r="A39" s="232"/>
      <c r="B39" s="5">
        <v>44331</v>
      </c>
      <c r="C39" s="1" t="s">
        <v>2</v>
      </c>
      <c r="D39" s="1" t="s">
        <v>1</v>
      </c>
      <c r="E39" s="235"/>
    </row>
    <row r="40" spans="1:5" ht="18.75" x14ac:dyDescent="0.25">
      <c r="A40" s="232"/>
      <c r="B40" s="5">
        <v>44338</v>
      </c>
      <c r="C40" s="1" t="s">
        <v>4</v>
      </c>
      <c r="D40" s="1" t="s">
        <v>3</v>
      </c>
      <c r="E40" s="235"/>
    </row>
    <row r="41" spans="1:5" ht="18.75" x14ac:dyDescent="0.25">
      <c r="A41" s="232"/>
      <c r="B41" s="7">
        <v>44345</v>
      </c>
      <c r="C41" s="1" t="s">
        <v>86</v>
      </c>
      <c r="D41" s="1" t="s">
        <v>87</v>
      </c>
      <c r="E41" s="235"/>
    </row>
    <row r="42" spans="1:5" ht="18.75" x14ac:dyDescent="0.25">
      <c r="A42" s="232"/>
      <c r="B42" s="7">
        <v>44352</v>
      </c>
      <c r="C42" s="1" t="s">
        <v>6</v>
      </c>
      <c r="D42" s="1" t="s">
        <v>0</v>
      </c>
      <c r="E42" s="235"/>
    </row>
    <row r="43" spans="1:5" ht="18.75" x14ac:dyDescent="0.25">
      <c r="A43" s="232"/>
      <c r="B43" s="7">
        <v>44359</v>
      </c>
      <c r="C43" s="1" t="s">
        <v>0</v>
      </c>
      <c r="D43" s="1" t="s">
        <v>2</v>
      </c>
      <c r="E43" s="235"/>
    </row>
    <row r="44" spans="1:5" ht="18.75" x14ac:dyDescent="0.25">
      <c r="A44" s="232"/>
      <c r="B44" s="7">
        <v>44366</v>
      </c>
      <c r="C44" s="62" t="s">
        <v>88</v>
      </c>
      <c r="D44" s="1" t="s">
        <v>4</v>
      </c>
      <c r="E44" s="235"/>
    </row>
    <row r="45" spans="1:5" ht="18.75" x14ac:dyDescent="0.25">
      <c r="A45" s="232"/>
      <c r="B45" s="7">
        <v>44373</v>
      </c>
      <c r="C45" s="62" t="s">
        <v>6</v>
      </c>
      <c r="D45" s="62" t="s">
        <v>3</v>
      </c>
      <c r="E45" s="235"/>
    </row>
    <row r="46" spans="1:5" ht="15.75" thickBot="1" x14ac:dyDescent="0.3">
      <c r="A46" s="233"/>
      <c r="B46" s="254"/>
      <c r="C46" s="254"/>
      <c r="D46" s="254"/>
      <c r="E46" s="236"/>
    </row>
    <row r="47" spans="1:5" x14ac:dyDescent="0.25">
      <c r="E47" s="2"/>
    </row>
  </sheetData>
  <mergeCells count="7">
    <mergeCell ref="A1:A45"/>
    <mergeCell ref="A46:E46"/>
    <mergeCell ref="C10:D10"/>
    <mergeCell ref="C18:D18"/>
    <mergeCell ref="C27:D27"/>
    <mergeCell ref="C1:D1"/>
    <mergeCell ref="E1:E45"/>
  </mergeCells>
  <printOptions horizontalCentered="1" verticalCentered="1" gridLines="1"/>
  <pageMargins left="0.70866141732283472" right="0.70866141732283472" top="0.74803149606299213" bottom="0.74803149606299213" header="0.31496062992125984" footer="0.31496062992125984"/>
  <pageSetup paperSize="9" scale="86" orientation="portrait" r:id="rId1"/>
  <headerFooter>
    <oddHeader>&amp;C&amp;"-,Gras"&amp;14&amp;A</oddHeader>
    <oddFooter>&amp;C&amp;"-,Gras"&amp;14&amp;D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4"/>
  <sheetViews>
    <sheetView workbookViewId="0">
      <selection activeCell="L11" sqref="L11:L12"/>
    </sheetView>
  </sheetViews>
  <sheetFormatPr baseColWidth="10" defaultColWidth="11.42578125" defaultRowHeight="15" x14ac:dyDescent="0.25"/>
  <cols>
    <col min="1" max="1" width="14.28515625" style="2" bestFit="1" customWidth="1"/>
    <col min="2" max="2" width="16.5703125" style="2" bestFit="1" customWidth="1"/>
    <col min="3" max="3" width="17.28515625" style="2" bestFit="1" customWidth="1"/>
    <col min="4" max="5" width="17.28515625" style="2" customWidth="1"/>
    <col min="6" max="16384" width="11.42578125" style="2"/>
  </cols>
  <sheetData>
    <row r="1" spans="1:8" ht="17.25" x14ac:dyDescent="0.25">
      <c r="A1" s="8">
        <v>43715</v>
      </c>
      <c r="B1" s="9" t="s">
        <v>3</v>
      </c>
      <c r="C1" s="9" t="s">
        <v>13</v>
      </c>
      <c r="D1" s="9"/>
      <c r="E1" s="9"/>
      <c r="F1" s="10" t="s">
        <v>4</v>
      </c>
      <c r="G1" s="2">
        <v>1</v>
      </c>
      <c r="H1" s="2">
        <v>2</v>
      </c>
    </row>
    <row r="2" spans="1:8" ht="17.25" x14ac:dyDescent="0.25">
      <c r="A2" s="8">
        <v>43722</v>
      </c>
      <c r="B2" s="9" t="s">
        <v>6</v>
      </c>
      <c r="C2" s="9" t="s">
        <v>5</v>
      </c>
      <c r="D2" s="11" t="s">
        <v>0</v>
      </c>
      <c r="E2" s="259" t="s">
        <v>14</v>
      </c>
      <c r="F2" s="10" t="s">
        <v>0</v>
      </c>
      <c r="G2" s="2">
        <v>2</v>
      </c>
      <c r="H2" s="2">
        <v>3</v>
      </c>
    </row>
    <row r="3" spans="1:8" ht="17.25" x14ac:dyDescent="0.25">
      <c r="A3" s="8">
        <v>43729</v>
      </c>
      <c r="B3" s="9" t="s">
        <v>5</v>
      </c>
      <c r="C3" s="9" t="s">
        <v>6</v>
      </c>
      <c r="D3" s="11" t="s">
        <v>4</v>
      </c>
      <c r="E3" s="259"/>
      <c r="F3" s="10" t="s">
        <v>5</v>
      </c>
      <c r="G3" s="2">
        <v>3</v>
      </c>
      <c r="H3" s="2">
        <v>4</v>
      </c>
    </row>
    <row r="4" spans="1:8" ht="17.25" x14ac:dyDescent="0.25">
      <c r="A4" s="12">
        <v>43736</v>
      </c>
      <c r="B4" s="260" t="s">
        <v>15</v>
      </c>
      <c r="C4" s="261"/>
      <c r="D4" s="262"/>
      <c r="E4" s="259"/>
      <c r="F4" s="10" t="s">
        <v>6</v>
      </c>
      <c r="G4" s="2">
        <v>4</v>
      </c>
    </row>
    <row r="5" spans="1:8" ht="17.25" x14ac:dyDescent="0.25">
      <c r="A5" s="8">
        <v>43743</v>
      </c>
      <c r="B5" s="9" t="s">
        <v>16</v>
      </c>
      <c r="C5" s="9" t="s">
        <v>1</v>
      </c>
      <c r="D5" s="11" t="s">
        <v>6</v>
      </c>
      <c r="E5" s="259"/>
      <c r="F5" s="10" t="s">
        <v>2</v>
      </c>
      <c r="G5" s="2">
        <v>5</v>
      </c>
      <c r="H5" s="2">
        <v>6</v>
      </c>
    </row>
    <row r="6" spans="1:8" ht="17.25" x14ac:dyDescent="0.25">
      <c r="A6" s="8">
        <v>43750</v>
      </c>
      <c r="B6" s="9" t="s">
        <v>5</v>
      </c>
      <c r="C6" s="13" t="s">
        <v>2</v>
      </c>
      <c r="D6" s="11" t="s">
        <v>6</v>
      </c>
      <c r="E6" s="259"/>
      <c r="F6" s="10" t="s">
        <v>1</v>
      </c>
      <c r="G6" s="2">
        <v>6</v>
      </c>
      <c r="H6" s="2">
        <v>7</v>
      </c>
    </row>
    <row r="7" spans="1:8" ht="17.25" x14ac:dyDescent="0.25">
      <c r="A7" s="14">
        <v>43757</v>
      </c>
      <c r="B7" s="15"/>
      <c r="C7" s="15"/>
      <c r="D7" s="15"/>
      <c r="E7" s="259"/>
      <c r="F7" s="10" t="s">
        <v>3</v>
      </c>
      <c r="G7" s="2">
        <v>7</v>
      </c>
    </row>
    <row r="8" spans="1:8" ht="17.25" x14ac:dyDescent="0.25">
      <c r="A8" s="16">
        <v>43764</v>
      </c>
      <c r="B8" s="17"/>
      <c r="C8" s="17"/>
      <c r="D8" s="17"/>
      <c r="E8" s="259"/>
    </row>
    <row r="9" spans="1:8" ht="17.25" x14ac:dyDescent="0.25">
      <c r="A9" s="8">
        <v>43771</v>
      </c>
      <c r="B9" s="9" t="s">
        <v>4</v>
      </c>
      <c r="C9" s="9" t="s">
        <v>2</v>
      </c>
      <c r="D9" s="11" t="s">
        <v>6</v>
      </c>
      <c r="E9" s="259"/>
      <c r="G9" s="2">
        <v>1</v>
      </c>
      <c r="H9" s="2">
        <v>3</v>
      </c>
    </row>
    <row r="10" spans="1:8" ht="17.25" x14ac:dyDescent="0.25">
      <c r="A10" s="8">
        <v>43778</v>
      </c>
      <c r="B10" s="9" t="s">
        <v>2</v>
      </c>
      <c r="C10" s="9" t="s">
        <v>1</v>
      </c>
      <c r="D10" s="11" t="s">
        <v>4</v>
      </c>
      <c r="E10" s="259"/>
      <c r="G10" s="2">
        <v>2</v>
      </c>
      <c r="H10" s="2">
        <v>4</v>
      </c>
    </row>
    <row r="11" spans="1:8" ht="17.25" x14ac:dyDescent="0.25">
      <c r="A11" s="8">
        <v>43785</v>
      </c>
      <c r="B11" s="9" t="s">
        <v>1</v>
      </c>
      <c r="C11" s="9" t="s">
        <v>6</v>
      </c>
      <c r="D11" s="11" t="s">
        <v>5</v>
      </c>
      <c r="E11" s="259"/>
      <c r="G11" s="2">
        <v>3</v>
      </c>
      <c r="H11" s="2">
        <v>5</v>
      </c>
    </row>
    <row r="12" spans="1:8" ht="17.25" x14ac:dyDescent="0.25">
      <c r="A12" s="8">
        <v>43792</v>
      </c>
      <c r="B12" s="9" t="s">
        <v>6</v>
      </c>
      <c r="C12" s="9" t="s">
        <v>1</v>
      </c>
      <c r="D12" s="11" t="s">
        <v>3</v>
      </c>
      <c r="E12" s="259"/>
      <c r="G12" s="2">
        <v>4</v>
      </c>
      <c r="H12" s="2">
        <v>6</v>
      </c>
    </row>
    <row r="13" spans="1:8" ht="17.25" x14ac:dyDescent="0.25">
      <c r="A13" s="8">
        <v>43799</v>
      </c>
      <c r="B13" s="9" t="s">
        <v>2</v>
      </c>
      <c r="C13" s="9" t="s">
        <v>3</v>
      </c>
      <c r="D13" s="11" t="s">
        <v>6</v>
      </c>
      <c r="E13" s="259"/>
      <c r="G13" s="2">
        <v>5</v>
      </c>
      <c r="H13" s="2">
        <v>7</v>
      </c>
    </row>
    <row r="14" spans="1:8" ht="17.25" x14ac:dyDescent="0.25">
      <c r="A14" s="8">
        <v>43806</v>
      </c>
      <c r="B14" s="9" t="s">
        <v>0</v>
      </c>
      <c r="C14" s="9" t="s">
        <v>4</v>
      </c>
      <c r="D14" s="11" t="s">
        <v>6</v>
      </c>
      <c r="E14" s="259"/>
      <c r="G14" s="2">
        <v>6</v>
      </c>
      <c r="H14" s="2">
        <v>1</v>
      </c>
    </row>
    <row r="15" spans="1:8" ht="17.25" x14ac:dyDescent="0.25">
      <c r="A15" s="8">
        <v>43813</v>
      </c>
      <c r="B15" s="9" t="s">
        <v>3</v>
      </c>
      <c r="C15" s="9" t="s">
        <v>13</v>
      </c>
      <c r="D15" s="11" t="s">
        <v>2</v>
      </c>
      <c r="E15" s="259"/>
      <c r="G15" s="2">
        <v>7</v>
      </c>
      <c r="H15" s="2">
        <v>2</v>
      </c>
    </row>
    <row r="16" spans="1:8" ht="17.25" x14ac:dyDescent="0.25">
      <c r="A16" s="14">
        <v>43820</v>
      </c>
      <c r="B16" s="15"/>
      <c r="C16" s="15"/>
      <c r="D16" s="15"/>
      <c r="E16" s="259"/>
    </row>
    <row r="17" spans="1:8" ht="17.25" x14ac:dyDescent="0.25">
      <c r="A17" s="16">
        <v>43827</v>
      </c>
      <c r="B17" s="17"/>
      <c r="C17" s="17"/>
      <c r="D17" s="18"/>
      <c r="E17" s="19"/>
    </row>
    <row r="18" spans="1:8" ht="17.25" x14ac:dyDescent="0.25">
      <c r="A18" s="16">
        <v>43834</v>
      </c>
      <c r="B18" s="17"/>
      <c r="C18" s="17"/>
      <c r="D18" s="17"/>
      <c r="E18" s="20"/>
    </row>
    <row r="19" spans="1:8" ht="17.25" x14ac:dyDescent="0.25">
      <c r="A19" s="8">
        <v>43841</v>
      </c>
      <c r="B19" s="9" t="s">
        <v>13</v>
      </c>
      <c r="C19" s="9" t="s">
        <v>2</v>
      </c>
      <c r="D19" s="11" t="s">
        <v>4</v>
      </c>
      <c r="E19" s="263" t="s">
        <v>17</v>
      </c>
      <c r="G19" s="2">
        <v>2</v>
      </c>
      <c r="H19" s="2">
        <v>5</v>
      </c>
    </row>
    <row r="20" spans="1:8" ht="17.25" x14ac:dyDescent="0.25">
      <c r="A20" s="8">
        <v>43848</v>
      </c>
      <c r="B20" s="9" t="s">
        <v>5</v>
      </c>
      <c r="C20" s="9" t="s">
        <v>1</v>
      </c>
      <c r="D20" s="11" t="s">
        <v>4</v>
      </c>
      <c r="E20" s="263"/>
      <c r="G20" s="2">
        <v>3</v>
      </c>
      <c r="H20" s="2">
        <v>6</v>
      </c>
    </row>
    <row r="21" spans="1:8" ht="17.25" x14ac:dyDescent="0.25">
      <c r="A21" s="8">
        <v>43855</v>
      </c>
      <c r="B21" s="9" t="s">
        <v>6</v>
      </c>
      <c r="C21" s="11" t="s">
        <v>3</v>
      </c>
      <c r="D21" s="11" t="s">
        <v>2</v>
      </c>
      <c r="E21" s="263"/>
      <c r="G21" s="2">
        <v>4</v>
      </c>
      <c r="H21" s="2">
        <v>7</v>
      </c>
    </row>
    <row r="22" spans="1:8" ht="17.25" x14ac:dyDescent="0.25">
      <c r="A22" s="21">
        <v>43862</v>
      </c>
      <c r="B22" s="9" t="s">
        <v>2</v>
      </c>
      <c r="C22" s="9" t="s">
        <v>4</v>
      </c>
      <c r="D22" s="11" t="s">
        <v>6</v>
      </c>
      <c r="E22" s="263"/>
      <c r="G22" s="2">
        <v>5</v>
      </c>
      <c r="H22" s="2">
        <v>1</v>
      </c>
    </row>
    <row r="23" spans="1:8" ht="17.25" x14ac:dyDescent="0.25">
      <c r="A23" s="14">
        <v>43869</v>
      </c>
      <c r="B23" s="15"/>
      <c r="C23" s="15"/>
      <c r="D23" s="15"/>
      <c r="E23" s="263"/>
    </row>
    <row r="24" spans="1:8" ht="17.25" x14ac:dyDescent="0.25">
      <c r="A24" s="16">
        <v>43876</v>
      </c>
      <c r="B24" s="17"/>
      <c r="C24" s="17"/>
      <c r="D24" s="17"/>
      <c r="E24" s="263"/>
    </row>
    <row r="25" spans="1:8" ht="17.25" x14ac:dyDescent="0.25">
      <c r="A25" s="21">
        <v>43883</v>
      </c>
      <c r="B25" s="9" t="s">
        <v>4</v>
      </c>
      <c r="C25" s="9" t="s">
        <v>5</v>
      </c>
      <c r="D25" s="11" t="s">
        <v>0</v>
      </c>
      <c r="E25" s="263"/>
      <c r="G25" s="2">
        <v>7</v>
      </c>
      <c r="H25" s="2">
        <v>3</v>
      </c>
    </row>
    <row r="26" spans="1:8" ht="17.25" x14ac:dyDescent="0.25">
      <c r="A26" s="8">
        <v>43890</v>
      </c>
      <c r="B26" s="9" t="s">
        <v>4</v>
      </c>
      <c r="C26" s="11" t="s">
        <v>2</v>
      </c>
      <c r="D26" s="11" t="s">
        <v>6</v>
      </c>
      <c r="E26" s="263"/>
      <c r="G26" s="2">
        <v>1</v>
      </c>
      <c r="H26" s="2">
        <v>5</v>
      </c>
    </row>
    <row r="27" spans="1:8" ht="17.25" x14ac:dyDescent="0.25">
      <c r="A27" s="21">
        <v>43897</v>
      </c>
      <c r="B27" s="9" t="s">
        <v>0</v>
      </c>
      <c r="C27" s="9" t="s">
        <v>1</v>
      </c>
      <c r="D27" s="11" t="s">
        <v>2</v>
      </c>
      <c r="E27" s="263"/>
      <c r="G27" s="2">
        <v>2</v>
      </c>
      <c r="H27" s="2">
        <v>6</v>
      </c>
    </row>
    <row r="28" spans="1:8" ht="17.25" x14ac:dyDescent="0.25">
      <c r="A28" s="8">
        <v>43904</v>
      </c>
      <c r="B28" s="9" t="s">
        <v>5</v>
      </c>
      <c r="C28" s="11" t="s">
        <v>6</v>
      </c>
      <c r="D28" s="9" t="s">
        <v>18</v>
      </c>
      <c r="E28" s="263"/>
      <c r="G28" s="2">
        <v>3</v>
      </c>
      <c r="H28" s="2">
        <v>7</v>
      </c>
    </row>
    <row r="29" spans="1:8" ht="17.25" x14ac:dyDescent="0.25">
      <c r="A29" s="8">
        <v>43911</v>
      </c>
      <c r="B29" s="9" t="s">
        <v>6</v>
      </c>
      <c r="C29" s="9" t="s">
        <v>1</v>
      </c>
      <c r="D29" s="22" t="s">
        <v>2</v>
      </c>
      <c r="E29" s="263"/>
      <c r="G29" s="2">
        <v>4</v>
      </c>
      <c r="H29" s="2">
        <v>1</v>
      </c>
    </row>
    <row r="30" spans="1:8" ht="17.25" x14ac:dyDescent="0.25">
      <c r="A30" s="21">
        <v>43918</v>
      </c>
      <c r="B30" s="9" t="s">
        <v>5</v>
      </c>
      <c r="C30" s="9" t="s">
        <v>0</v>
      </c>
      <c r="D30" s="22" t="s">
        <v>4</v>
      </c>
      <c r="E30" s="263"/>
      <c r="G30" s="2">
        <v>5</v>
      </c>
      <c r="H30" s="2">
        <v>2</v>
      </c>
    </row>
    <row r="31" spans="1:8" ht="17.25" x14ac:dyDescent="0.25">
      <c r="A31" s="21">
        <v>43925</v>
      </c>
      <c r="B31" s="15"/>
      <c r="C31" s="15"/>
      <c r="D31" s="15"/>
      <c r="E31" s="23"/>
      <c r="F31" s="24"/>
    </row>
    <row r="32" spans="1:8" ht="17.25" x14ac:dyDescent="0.25">
      <c r="A32" s="16">
        <v>43932</v>
      </c>
      <c r="B32" s="17"/>
      <c r="C32" s="17"/>
      <c r="D32" s="17"/>
      <c r="E32" s="9"/>
      <c r="F32" s="24"/>
    </row>
    <row r="33" spans="1:8" ht="17.25" x14ac:dyDescent="0.25">
      <c r="A33" s="16">
        <v>43939</v>
      </c>
      <c r="B33" s="17"/>
      <c r="C33" s="17"/>
      <c r="D33" s="17"/>
      <c r="E33" s="9"/>
      <c r="F33" s="24"/>
    </row>
    <row r="34" spans="1:8" ht="17.25" x14ac:dyDescent="0.25">
      <c r="A34" s="8">
        <v>43946</v>
      </c>
      <c r="B34" s="9" t="s">
        <v>3</v>
      </c>
      <c r="C34" s="9" t="s">
        <v>1</v>
      </c>
      <c r="D34" s="13"/>
      <c r="E34" s="9"/>
      <c r="F34" s="24"/>
      <c r="G34" s="2">
        <v>7</v>
      </c>
      <c r="H34" s="2">
        <v>4</v>
      </c>
    </row>
    <row r="35" spans="1:8" ht="17.25" x14ac:dyDescent="0.25">
      <c r="A35" s="8">
        <v>43953</v>
      </c>
      <c r="B35" s="9" t="s">
        <v>4</v>
      </c>
      <c r="C35" s="9" t="s">
        <v>6</v>
      </c>
      <c r="D35" s="9"/>
      <c r="E35" s="9"/>
      <c r="F35" s="24"/>
      <c r="G35" s="2">
        <v>1</v>
      </c>
      <c r="H35" s="2">
        <v>6</v>
      </c>
    </row>
    <row r="36" spans="1:8" ht="17.25" x14ac:dyDescent="0.25">
      <c r="A36" s="8">
        <v>43960</v>
      </c>
      <c r="B36" s="9" t="s">
        <v>0</v>
      </c>
      <c r="C36" s="9" t="s">
        <v>3</v>
      </c>
      <c r="D36" s="9"/>
      <c r="E36" s="9"/>
      <c r="F36" s="24"/>
      <c r="G36" s="2">
        <v>2</v>
      </c>
      <c r="H36" s="2">
        <v>7</v>
      </c>
    </row>
    <row r="37" spans="1:8" ht="17.25" x14ac:dyDescent="0.25">
      <c r="A37" s="21">
        <v>43967</v>
      </c>
      <c r="B37" s="9" t="s">
        <v>5</v>
      </c>
      <c r="C37" s="9" t="s">
        <v>4</v>
      </c>
      <c r="D37" s="9"/>
      <c r="E37" s="23"/>
      <c r="F37" s="24"/>
      <c r="G37" s="2">
        <v>3</v>
      </c>
      <c r="H37" s="2">
        <v>1</v>
      </c>
    </row>
    <row r="38" spans="1:8" ht="17.25" x14ac:dyDescent="0.25">
      <c r="A38" s="8">
        <v>43974</v>
      </c>
      <c r="B38" s="9" t="s">
        <v>6</v>
      </c>
      <c r="C38" s="9" t="s">
        <v>0</v>
      </c>
      <c r="D38" s="9"/>
      <c r="G38" s="2">
        <v>4</v>
      </c>
      <c r="H38" s="2">
        <v>2</v>
      </c>
    </row>
    <row r="39" spans="1:8" ht="17.25" x14ac:dyDescent="0.25">
      <c r="A39" s="25">
        <v>43981</v>
      </c>
      <c r="B39" s="26" t="s">
        <v>2</v>
      </c>
      <c r="C39" s="26" t="s">
        <v>5</v>
      </c>
      <c r="D39" s="26" t="s">
        <v>0</v>
      </c>
      <c r="G39" s="2">
        <v>5</v>
      </c>
      <c r="H39" s="2">
        <v>3</v>
      </c>
    </row>
    <row r="40" spans="1:8" ht="17.25" x14ac:dyDescent="0.25">
      <c r="A40" s="25">
        <v>43988</v>
      </c>
      <c r="B40" s="26" t="s">
        <v>1</v>
      </c>
      <c r="C40" s="27" t="s">
        <v>3</v>
      </c>
      <c r="D40" s="26" t="s">
        <v>4</v>
      </c>
      <c r="G40" s="2">
        <v>6</v>
      </c>
      <c r="H40" s="2">
        <v>4</v>
      </c>
    </row>
    <row r="41" spans="1:8" ht="17.25" x14ac:dyDescent="0.25">
      <c r="A41" s="25">
        <v>43995</v>
      </c>
      <c r="B41" s="26" t="s">
        <v>5</v>
      </c>
      <c r="C41" s="26" t="s">
        <v>4</v>
      </c>
      <c r="D41" s="26" t="s">
        <v>0</v>
      </c>
      <c r="G41" s="2">
        <v>7</v>
      </c>
      <c r="H41" s="2">
        <v>5</v>
      </c>
    </row>
    <row r="42" spans="1:8" ht="17.25" x14ac:dyDescent="0.25">
      <c r="A42" s="25">
        <v>44002</v>
      </c>
      <c r="B42" s="26" t="s">
        <v>2</v>
      </c>
      <c r="C42" s="26" t="s">
        <v>1</v>
      </c>
      <c r="D42" s="26" t="s">
        <v>6</v>
      </c>
    </row>
    <row r="44" spans="1:8" x14ac:dyDescent="0.25">
      <c r="A44" s="28"/>
    </row>
  </sheetData>
  <mergeCells count="3">
    <mergeCell ref="E2:E16"/>
    <mergeCell ref="B4:D4"/>
    <mergeCell ref="E19:E3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4"/>
  <sheetViews>
    <sheetView topLeftCell="A19" workbookViewId="0">
      <selection activeCell="D31" sqref="D31:D33"/>
    </sheetView>
  </sheetViews>
  <sheetFormatPr baseColWidth="10" defaultRowHeight="15" x14ac:dyDescent="0.25"/>
  <cols>
    <col min="1" max="1" width="14.28515625" bestFit="1" customWidth="1"/>
    <col min="2" max="2" width="16.5703125" bestFit="1" customWidth="1"/>
    <col min="3" max="3" width="17.28515625" bestFit="1" customWidth="1"/>
    <col min="4" max="4" width="17.28515625" customWidth="1"/>
  </cols>
  <sheetData>
    <row r="1" spans="1:7" ht="18.75" x14ac:dyDescent="0.3">
      <c r="A1" s="29">
        <v>43344</v>
      </c>
      <c r="B1" s="30" t="s">
        <v>1</v>
      </c>
      <c r="C1" s="30" t="s">
        <v>0</v>
      </c>
      <c r="E1" t="s">
        <v>1</v>
      </c>
      <c r="F1" s="31">
        <v>1</v>
      </c>
      <c r="G1" s="31">
        <v>2</v>
      </c>
    </row>
    <row r="2" spans="1:7" ht="18.75" x14ac:dyDescent="0.3">
      <c r="A2" s="29">
        <v>43351</v>
      </c>
      <c r="B2" s="30" t="s">
        <v>5</v>
      </c>
      <c r="C2" s="30" t="s">
        <v>4</v>
      </c>
      <c r="E2" t="s">
        <v>0</v>
      </c>
      <c r="F2" s="31">
        <v>3</v>
      </c>
      <c r="G2" s="31">
        <v>4</v>
      </c>
    </row>
    <row r="3" spans="1:7" ht="18.75" x14ac:dyDescent="0.3">
      <c r="A3" s="29">
        <v>43358</v>
      </c>
      <c r="B3" s="30" t="s">
        <v>2</v>
      </c>
      <c r="C3" s="30" t="s">
        <v>3</v>
      </c>
      <c r="E3" t="s">
        <v>5</v>
      </c>
      <c r="F3" s="31">
        <v>5</v>
      </c>
      <c r="G3" s="31">
        <v>6</v>
      </c>
    </row>
    <row r="4" spans="1:7" ht="18.75" x14ac:dyDescent="0.3">
      <c r="A4" s="29">
        <v>43365</v>
      </c>
      <c r="B4" s="30" t="s">
        <v>7</v>
      </c>
      <c r="C4" s="30" t="s">
        <v>2</v>
      </c>
      <c r="E4" t="s">
        <v>4</v>
      </c>
      <c r="F4" s="31">
        <v>7</v>
      </c>
      <c r="G4" s="31">
        <v>8</v>
      </c>
    </row>
    <row r="5" spans="1:7" ht="18.75" x14ac:dyDescent="0.3">
      <c r="A5" s="29">
        <v>43372</v>
      </c>
      <c r="B5" s="30" t="s">
        <v>19</v>
      </c>
      <c r="C5" s="30" t="s">
        <v>20</v>
      </c>
      <c r="E5" t="s">
        <v>2</v>
      </c>
      <c r="F5" s="31">
        <v>2</v>
      </c>
      <c r="G5" s="31">
        <v>3</v>
      </c>
    </row>
    <row r="6" spans="1:7" ht="18.75" x14ac:dyDescent="0.3">
      <c r="A6" s="29">
        <v>43379</v>
      </c>
      <c r="B6" s="30" t="s">
        <v>4</v>
      </c>
      <c r="C6" s="30" t="s">
        <v>1</v>
      </c>
      <c r="E6" t="s">
        <v>3</v>
      </c>
      <c r="F6" s="31">
        <v>4</v>
      </c>
      <c r="G6" s="31">
        <v>5</v>
      </c>
    </row>
    <row r="7" spans="1:7" ht="18.75" x14ac:dyDescent="0.3">
      <c r="A7" s="29">
        <v>43386</v>
      </c>
      <c r="B7" s="30" t="s">
        <v>5</v>
      </c>
      <c r="C7" s="30" t="s">
        <v>0</v>
      </c>
      <c r="E7" t="s">
        <v>21</v>
      </c>
      <c r="F7" s="31">
        <v>6</v>
      </c>
      <c r="G7" s="31">
        <v>7</v>
      </c>
    </row>
    <row r="8" spans="1:7" ht="18.75" x14ac:dyDescent="0.3">
      <c r="A8" s="29">
        <v>43393</v>
      </c>
      <c r="B8" s="30" t="s">
        <v>0</v>
      </c>
      <c r="C8" s="30" t="s">
        <v>1</v>
      </c>
      <c r="F8" s="31">
        <v>8</v>
      </c>
      <c r="G8" s="31">
        <v>1</v>
      </c>
    </row>
    <row r="9" spans="1:7" ht="18.75" x14ac:dyDescent="0.25">
      <c r="A9" s="32">
        <v>43400</v>
      </c>
      <c r="B9" s="264" t="s">
        <v>22</v>
      </c>
      <c r="C9" s="265"/>
      <c r="D9" s="33"/>
      <c r="F9" s="31"/>
      <c r="G9" s="31"/>
    </row>
    <row r="10" spans="1:7" ht="18.75" x14ac:dyDescent="0.3">
      <c r="A10" s="29">
        <v>43407</v>
      </c>
      <c r="B10" s="30" t="s">
        <v>23</v>
      </c>
      <c r="C10" s="30" t="s">
        <v>3</v>
      </c>
      <c r="F10" s="31">
        <v>2</v>
      </c>
      <c r="G10" s="31">
        <v>3</v>
      </c>
    </row>
    <row r="11" spans="1:7" ht="18.75" x14ac:dyDescent="0.3">
      <c r="A11" s="29">
        <v>43414</v>
      </c>
      <c r="B11" s="30" t="s">
        <v>4</v>
      </c>
      <c r="C11" s="30" t="s">
        <v>2</v>
      </c>
      <c r="F11" s="31">
        <v>4</v>
      </c>
      <c r="G11" s="31">
        <v>5</v>
      </c>
    </row>
    <row r="12" spans="1:7" ht="18.75" x14ac:dyDescent="0.3">
      <c r="A12" s="29">
        <v>43421</v>
      </c>
      <c r="B12" s="30" t="s">
        <v>3</v>
      </c>
      <c r="C12" s="30" t="s">
        <v>23</v>
      </c>
      <c r="F12" s="9">
        <v>6</v>
      </c>
      <c r="G12" s="9">
        <v>7</v>
      </c>
    </row>
    <row r="13" spans="1:7" ht="18.75" x14ac:dyDescent="0.3">
      <c r="A13" s="29">
        <v>43428</v>
      </c>
      <c r="B13" s="30" t="s">
        <v>1</v>
      </c>
      <c r="C13" s="30" t="s">
        <v>5</v>
      </c>
      <c r="F13" s="31">
        <v>1</v>
      </c>
      <c r="G13" s="31">
        <v>2</v>
      </c>
    </row>
    <row r="14" spans="1:7" ht="18.75" x14ac:dyDescent="0.3">
      <c r="A14" s="29">
        <v>43435</v>
      </c>
      <c r="B14" s="30" t="s">
        <v>3</v>
      </c>
      <c r="C14" s="30" t="s">
        <v>4</v>
      </c>
      <c r="F14" s="31">
        <v>3</v>
      </c>
      <c r="G14" s="31">
        <v>4</v>
      </c>
    </row>
    <row r="15" spans="1:7" ht="18.75" x14ac:dyDescent="0.3">
      <c r="A15" s="29">
        <v>43442</v>
      </c>
      <c r="B15" s="30" t="s">
        <v>2</v>
      </c>
      <c r="C15" s="30" t="s">
        <v>5</v>
      </c>
      <c r="F15" s="31">
        <v>5</v>
      </c>
      <c r="G15" s="31">
        <v>6</v>
      </c>
    </row>
    <row r="16" spans="1:7" ht="18.75" x14ac:dyDescent="0.3">
      <c r="A16" s="29">
        <v>43449</v>
      </c>
      <c r="B16" s="30" t="s">
        <v>5</v>
      </c>
      <c r="C16" s="30" t="s">
        <v>0</v>
      </c>
      <c r="F16" s="13">
        <v>7</v>
      </c>
      <c r="G16" s="13">
        <v>8</v>
      </c>
    </row>
    <row r="17" spans="1:7" ht="18.75" x14ac:dyDescent="0.3">
      <c r="A17" s="29">
        <v>43456</v>
      </c>
      <c r="B17" s="266" t="s">
        <v>24</v>
      </c>
      <c r="C17" s="267"/>
      <c r="F17" s="31">
        <v>1</v>
      </c>
      <c r="G17" s="31">
        <v>3</v>
      </c>
    </row>
    <row r="18" spans="1:7" ht="18.75" x14ac:dyDescent="0.25">
      <c r="A18" s="32">
        <v>43463</v>
      </c>
      <c r="B18" s="268" t="s">
        <v>22</v>
      </c>
      <c r="C18" s="269"/>
      <c r="D18" s="33"/>
      <c r="F18" s="31"/>
      <c r="G18" s="31"/>
    </row>
    <row r="19" spans="1:7" ht="18.75" x14ac:dyDescent="0.25">
      <c r="A19" s="32">
        <v>43470</v>
      </c>
      <c r="B19" s="270"/>
      <c r="C19" s="271"/>
      <c r="D19" s="33"/>
      <c r="F19" s="31"/>
      <c r="G19" s="31"/>
    </row>
    <row r="20" spans="1:7" ht="18.75" x14ac:dyDescent="0.3">
      <c r="A20" s="29">
        <v>43477</v>
      </c>
      <c r="B20" s="30" t="s">
        <v>0</v>
      </c>
      <c r="C20" s="30" t="s">
        <v>3</v>
      </c>
      <c r="D20" t="s">
        <v>25</v>
      </c>
      <c r="F20" s="31">
        <v>2</v>
      </c>
      <c r="G20" s="31">
        <v>4</v>
      </c>
    </row>
    <row r="21" spans="1:7" ht="18.75" x14ac:dyDescent="0.3">
      <c r="A21" s="29">
        <v>43484</v>
      </c>
      <c r="B21" s="30" t="s">
        <v>5</v>
      </c>
      <c r="C21" s="30" t="s">
        <v>2</v>
      </c>
      <c r="F21" s="31">
        <v>3</v>
      </c>
      <c r="G21" s="31">
        <v>5</v>
      </c>
    </row>
    <row r="22" spans="1:7" ht="18.75" x14ac:dyDescent="0.3">
      <c r="A22" s="29">
        <v>43491</v>
      </c>
      <c r="B22" s="30" t="s">
        <v>1</v>
      </c>
      <c r="C22" s="30" t="s">
        <v>3</v>
      </c>
      <c r="D22" t="s">
        <v>25</v>
      </c>
      <c r="F22" s="31">
        <v>4</v>
      </c>
      <c r="G22" s="31">
        <v>8</v>
      </c>
    </row>
    <row r="23" spans="1:7" ht="18.75" x14ac:dyDescent="0.3">
      <c r="A23" s="29">
        <v>43498</v>
      </c>
      <c r="B23" s="30" t="s">
        <v>2</v>
      </c>
      <c r="C23" s="30" t="s">
        <v>4</v>
      </c>
      <c r="D23" t="s">
        <v>26</v>
      </c>
      <c r="F23" s="31">
        <v>5</v>
      </c>
      <c r="G23" s="31">
        <v>7</v>
      </c>
    </row>
    <row r="24" spans="1:7" ht="18.75" x14ac:dyDescent="0.3">
      <c r="A24" s="29">
        <v>43505</v>
      </c>
      <c r="B24" s="30" t="s">
        <v>3</v>
      </c>
      <c r="C24" s="30" t="s">
        <v>2</v>
      </c>
      <c r="D24" t="s">
        <v>25</v>
      </c>
      <c r="F24" s="31">
        <v>1</v>
      </c>
      <c r="G24" s="31">
        <v>8</v>
      </c>
    </row>
    <row r="25" spans="1:7" ht="18.75" x14ac:dyDescent="0.3">
      <c r="A25" s="29">
        <v>43512</v>
      </c>
      <c r="B25" s="30" t="s">
        <v>0</v>
      </c>
      <c r="C25" s="30" t="s">
        <v>6</v>
      </c>
      <c r="F25" s="31">
        <v>2</v>
      </c>
      <c r="G25" s="31">
        <v>5</v>
      </c>
    </row>
    <row r="26" spans="1:7" ht="18.75" x14ac:dyDescent="0.25">
      <c r="A26" s="32">
        <v>43519</v>
      </c>
      <c r="B26" s="264" t="s">
        <v>22</v>
      </c>
      <c r="C26" s="265"/>
      <c r="D26" s="33"/>
      <c r="F26" s="31"/>
      <c r="G26" s="31"/>
    </row>
    <row r="27" spans="1:7" ht="18.75" x14ac:dyDescent="0.3">
      <c r="A27" s="29">
        <v>43526</v>
      </c>
      <c r="B27" s="30" t="s">
        <v>5</v>
      </c>
      <c r="C27" s="30" t="s">
        <v>1</v>
      </c>
      <c r="F27" s="31">
        <v>3</v>
      </c>
      <c r="G27" s="9">
        <v>6</v>
      </c>
    </row>
    <row r="28" spans="1:7" ht="18.75" x14ac:dyDescent="0.3">
      <c r="A28" s="29">
        <v>43533</v>
      </c>
      <c r="B28" s="30" t="s">
        <v>1</v>
      </c>
      <c r="C28" s="30" t="s">
        <v>4</v>
      </c>
      <c r="F28" s="31">
        <v>1</v>
      </c>
      <c r="G28" s="31">
        <v>4</v>
      </c>
    </row>
    <row r="29" spans="1:7" ht="18.75" x14ac:dyDescent="0.3">
      <c r="A29" s="29">
        <v>43540</v>
      </c>
      <c r="B29" s="30" t="s">
        <v>0</v>
      </c>
      <c r="C29" s="30" t="s">
        <v>3</v>
      </c>
      <c r="F29" s="31">
        <v>2</v>
      </c>
      <c r="G29" s="31">
        <v>7</v>
      </c>
    </row>
    <row r="30" spans="1:7" ht="18.75" x14ac:dyDescent="0.3">
      <c r="A30" s="29">
        <v>43547</v>
      </c>
      <c r="B30" s="30" t="s">
        <v>2</v>
      </c>
      <c r="C30" s="30" t="s">
        <v>6</v>
      </c>
      <c r="F30" s="31">
        <v>5</v>
      </c>
      <c r="G30" s="31">
        <v>8</v>
      </c>
    </row>
    <row r="31" spans="1:7" ht="18.75" x14ac:dyDescent="0.3">
      <c r="A31" s="29">
        <v>43554</v>
      </c>
      <c r="B31" s="30" t="s">
        <v>1</v>
      </c>
      <c r="C31" s="30" t="s">
        <v>2</v>
      </c>
      <c r="F31" s="31">
        <v>1</v>
      </c>
      <c r="G31" s="31">
        <v>6</v>
      </c>
    </row>
    <row r="32" spans="1:7" ht="18.75" x14ac:dyDescent="0.3">
      <c r="A32" s="29">
        <v>43561</v>
      </c>
      <c r="B32" s="30" t="s">
        <v>5</v>
      </c>
      <c r="C32" s="30" t="s">
        <v>4</v>
      </c>
      <c r="F32" s="31">
        <v>2</v>
      </c>
      <c r="G32" s="31">
        <v>8</v>
      </c>
    </row>
    <row r="33" spans="1:7" ht="18.75" x14ac:dyDescent="0.3">
      <c r="A33" s="29">
        <v>43568</v>
      </c>
      <c r="B33" s="30" t="s">
        <v>4</v>
      </c>
      <c r="C33" s="30" t="s">
        <v>6</v>
      </c>
      <c r="F33" s="13">
        <v>4</v>
      </c>
      <c r="G33" s="31">
        <v>7</v>
      </c>
    </row>
    <row r="34" spans="1:7" ht="18.75" x14ac:dyDescent="0.25">
      <c r="A34" s="32">
        <v>43575</v>
      </c>
      <c r="B34" s="268" t="s">
        <v>22</v>
      </c>
      <c r="C34" s="269"/>
      <c r="D34" s="33"/>
    </row>
    <row r="35" spans="1:7" ht="18.75" x14ac:dyDescent="0.25">
      <c r="A35" s="32">
        <v>43582</v>
      </c>
      <c r="B35" s="270"/>
      <c r="C35" s="271"/>
      <c r="D35" s="33"/>
    </row>
    <row r="36" spans="1:7" ht="18.75" x14ac:dyDescent="0.3">
      <c r="A36" s="29">
        <v>43589</v>
      </c>
      <c r="B36" s="30" t="s">
        <v>5</v>
      </c>
      <c r="C36" s="30" t="s">
        <v>4</v>
      </c>
      <c r="F36" s="31">
        <v>3</v>
      </c>
      <c r="G36" s="31">
        <v>8</v>
      </c>
    </row>
    <row r="37" spans="1:7" ht="18.75" x14ac:dyDescent="0.3">
      <c r="A37" s="29">
        <v>43596</v>
      </c>
      <c r="B37" s="30" t="s">
        <v>6</v>
      </c>
      <c r="C37" s="30" t="s">
        <v>2</v>
      </c>
      <c r="F37" s="31">
        <v>1</v>
      </c>
      <c r="G37" s="31">
        <v>5</v>
      </c>
    </row>
    <row r="38" spans="1:7" ht="18.75" x14ac:dyDescent="0.3">
      <c r="A38" s="29">
        <v>43603</v>
      </c>
      <c r="B38" s="30" t="s">
        <v>0</v>
      </c>
      <c r="C38" s="30" t="s">
        <v>5</v>
      </c>
      <c r="F38" s="31">
        <v>2</v>
      </c>
      <c r="G38" s="31">
        <v>6</v>
      </c>
    </row>
    <row r="39" spans="1:7" ht="56.25" x14ac:dyDescent="0.3">
      <c r="A39" s="29">
        <v>43610</v>
      </c>
      <c r="B39" s="34" t="s">
        <v>27</v>
      </c>
      <c r="C39" s="34" t="s">
        <v>28</v>
      </c>
      <c r="D39" s="35" t="s">
        <v>29</v>
      </c>
      <c r="F39" s="31">
        <v>3</v>
      </c>
      <c r="G39" s="31">
        <v>7</v>
      </c>
    </row>
    <row r="40" spans="1:7" ht="18.75" x14ac:dyDescent="0.3">
      <c r="A40" s="29">
        <v>43617</v>
      </c>
      <c r="B40" s="30" t="s">
        <v>4</v>
      </c>
      <c r="C40" s="30" t="s">
        <v>2</v>
      </c>
      <c r="F40" s="9">
        <v>4</v>
      </c>
      <c r="G40" s="9">
        <v>8</v>
      </c>
    </row>
    <row r="41" spans="1:7" ht="18.75" x14ac:dyDescent="0.3">
      <c r="A41" s="29">
        <v>43624</v>
      </c>
      <c r="B41" s="30" t="s">
        <v>1</v>
      </c>
      <c r="C41" s="30" t="s">
        <v>6</v>
      </c>
      <c r="F41" s="31">
        <v>5</v>
      </c>
      <c r="G41" s="31">
        <v>6</v>
      </c>
    </row>
    <row r="42" spans="1:7" ht="18.75" x14ac:dyDescent="0.3">
      <c r="A42" s="29">
        <v>43631</v>
      </c>
      <c r="B42" s="30" t="s">
        <v>2</v>
      </c>
      <c r="C42" s="30" t="s">
        <v>3</v>
      </c>
      <c r="F42" s="31">
        <v>1</v>
      </c>
      <c r="G42" s="31">
        <v>7</v>
      </c>
    </row>
    <row r="43" spans="1:7" ht="18.75" x14ac:dyDescent="0.3">
      <c r="A43" s="29">
        <v>43638</v>
      </c>
      <c r="B43" s="30" t="s">
        <v>4</v>
      </c>
      <c r="C43" s="30" t="s">
        <v>5</v>
      </c>
      <c r="F43" s="9">
        <v>6</v>
      </c>
      <c r="G43" s="9">
        <v>8</v>
      </c>
    </row>
    <row r="44" spans="1:7" ht="18.75" x14ac:dyDescent="0.25">
      <c r="A44" s="29">
        <v>43645</v>
      </c>
      <c r="B44" s="264" t="s">
        <v>22</v>
      </c>
      <c r="C44" s="265"/>
      <c r="D44" s="33"/>
    </row>
  </sheetData>
  <mergeCells count="6">
    <mergeCell ref="B44:C44"/>
    <mergeCell ref="B9:C9"/>
    <mergeCell ref="B17:C17"/>
    <mergeCell ref="B18:C19"/>
    <mergeCell ref="B26:C26"/>
    <mergeCell ref="B34:C3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4"/>
  <sheetViews>
    <sheetView topLeftCell="A22" workbookViewId="0">
      <selection activeCell="J25" sqref="J25"/>
    </sheetView>
  </sheetViews>
  <sheetFormatPr baseColWidth="10" defaultRowHeight="15" x14ac:dyDescent="0.25"/>
  <cols>
    <col min="1" max="1" width="14.28515625" bestFit="1" customWidth="1"/>
    <col min="2" max="2" width="16.5703125" bestFit="1" customWidth="1"/>
    <col min="3" max="3" width="17.28515625" bestFit="1" customWidth="1"/>
  </cols>
  <sheetData>
    <row r="1" spans="1:3" ht="17.25" x14ac:dyDescent="0.25">
      <c r="A1" s="36">
        <v>42980</v>
      </c>
      <c r="B1" s="37" t="s">
        <v>1</v>
      </c>
      <c r="C1" s="38" t="s">
        <v>5</v>
      </c>
    </row>
    <row r="2" spans="1:3" ht="17.25" x14ac:dyDescent="0.25">
      <c r="A2" s="39">
        <v>42987</v>
      </c>
      <c r="B2" s="31" t="s">
        <v>2</v>
      </c>
      <c r="C2" s="40" t="s">
        <v>4</v>
      </c>
    </row>
    <row r="3" spans="1:3" ht="17.25" x14ac:dyDescent="0.25">
      <c r="A3" s="39">
        <v>42994</v>
      </c>
      <c r="B3" s="31" t="s">
        <v>7</v>
      </c>
      <c r="C3" s="40" t="s">
        <v>0</v>
      </c>
    </row>
    <row r="4" spans="1:3" ht="17.25" x14ac:dyDescent="0.25">
      <c r="A4" s="39">
        <v>43001</v>
      </c>
      <c r="B4" s="31" t="s">
        <v>30</v>
      </c>
      <c r="C4" s="40" t="s">
        <v>1</v>
      </c>
    </row>
    <row r="5" spans="1:3" ht="17.25" x14ac:dyDescent="0.25">
      <c r="A5" s="39">
        <v>43008</v>
      </c>
      <c r="B5" s="31" t="s">
        <v>30</v>
      </c>
      <c r="C5" s="40" t="s">
        <v>5</v>
      </c>
    </row>
    <row r="6" spans="1:3" ht="17.25" x14ac:dyDescent="0.25">
      <c r="A6" s="39">
        <v>43015</v>
      </c>
      <c r="B6" s="31" t="s">
        <v>2</v>
      </c>
      <c r="C6" s="40" t="s">
        <v>4</v>
      </c>
    </row>
    <row r="7" spans="1:3" ht="17.25" x14ac:dyDescent="0.25">
      <c r="A7" s="39">
        <v>43022</v>
      </c>
      <c r="B7" s="31" t="s">
        <v>7</v>
      </c>
      <c r="C7" s="40" t="s">
        <v>0</v>
      </c>
    </row>
    <row r="8" spans="1:3" ht="17.25" x14ac:dyDescent="0.25">
      <c r="A8" s="39">
        <v>43029</v>
      </c>
      <c r="B8" s="31" t="s">
        <v>30</v>
      </c>
      <c r="C8" s="40" t="s">
        <v>2</v>
      </c>
    </row>
    <row r="9" spans="1:3" ht="17.25" x14ac:dyDescent="0.25">
      <c r="A9" s="41">
        <v>43036</v>
      </c>
      <c r="B9" s="17" t="s">
        <v>22</v>
      </c>
      <c r="C9" s="42"/>
    </row>
    <row r="10" spans="1:3" ht="17.25" x14ac:dyDescent="0.25">
      <c r="A10" s="39">
        <v>43043</v>
      </c>
      <c r="B10" s="31" t="s">
        <v>1</v>
      </c>
      <c r="C10" s="40" t="s">
        <v>5</v>
      </c>
    </row>
    <row r="11" spans="1:3" ht="17.25" x14ac:dyDescent="0.25">
      <c r="A11" s="39">
        <v>43050</v>
      </c>
      <c r="B11" s="31" t="s">
        <v>30</v>
      </c>
      <c r="C11" s="40" t="s">
        <v>4</v>
      </c>
    </row>
    <row r="12" spans="1:3" ht="17.25" x14ac:dyDescent="0.25">
      <c r="A12" s="39">
        <v>43057</v>
      </c>
      <c r="B12" s="31" t="s">
        <v>7</v>
      </c>
      <c r="C12" s="40" t="s">
        <v>0</v>
      </c>
    </row>
    <row r="13" spans="1:3" ht="17.25" x14ac:dyDescent="0.25">
      <c r="A13" s="39">
        <v>43064</v>
      </c>
      <c r="B13" s="31" t="s">
        <v>21</v>
      </c>
      <c r="C13" s="40" t="s">
        <v>4</v>
      </c>
    </row>
    <row r="14" spans="1:3" ht="17.25" x14ac:dyDescent="0.25">
      <c r="A14" s="39">
        <v>43071</v>
      </c>
      <c r="B14" s="31" t="s">
        <v>1</v>
      </c>
      <c r="C14" s="40" t="s">
        <v>5</v>
      </c>
    </row>
    <row r="15" spans="1:3" ht="17.25" x14ac:dyDescent="0.25">
      <c r="A15" s="39">
        <v>43078</v>
      </c>
      <c r="B15" s="31" t="s">
        <v>2</v>
      </c>
      <c r="C15" s="40" t="s">
        <v>21</v>
      </c>
    </row>
    <row r="16" spans="1:3" ht="17.25" x14ac:dyDescent="0.25">
      <c r="A16" s="39">
        <v>43085</v>
      </c>
      <c r="B16" s="31" t="s">
        <v>7</v>
      </c>
      <c r="C16" s="40" t="s">
        <v>0</v>
      </c>
    </row>
    <row r="17" spans="1:3" ht="17.25" x14ac:dyDescent="0.25">
      <c r="A17" s="41">
        <v>43092</v>
      </c>
      <c r="B17" s="17" t="s">
        <v>22</v>
      </c>
      <c r="C17" s="42"/>
    </row>
    <row r="18" spans="1:3" ht="17.25" x14ac:dyDescent="0.25">
      <c r="A18" s="41">
        <v>43099</v>
      </c>
      <c r="B18" s="17" t="s">
        <v>22</v>
      </c>
      <c r="C18" s="42"/>
    </row>
    <row r="19" spans="1:3" ht="17.25" x14ac:dyDescent="0.25">
      <c r="A19" s="39">
        <v>43106</v>
      </c>
      <c r="B19" s="31" t="s">
        <v>2</v>
      </c>
      <c r="C19" s="40" t="s">
        <v>21</v>
      </c>
    </row>
    <row r="20" spans="1:3" ht="17.25" x14ac:dyDescent="0.25">
      <c r="A20" s="39">
        <v>43113</v>
      </c>
      <c r="B20" s="31" t="s">
        <v>1</v>
      </c>
      <c r="C20" s="40" t="s">
        <v>31</v>
      </c>
    </row>
    <row r="21" spans="1:3" ht="17.25" x14ac:dyDescent="0.25">
      <c r="A21" s="39">
        <v>43120</v>
      </c>
      <c r="B21" s="31" t="s">
        <v>7</v>
      </c>
      <c r="C21" s="40" t="s">
        <v>21</v>
      </c>
    </row>
    <row r="22" spans="1:3" ht="17.25" x14ac:dyDescent="0.25">
      <c r="A22" s="39">
        <v>43127</v>
      </c>
      <c r="B22" s="31" t="s">
        <v>3</v>
      </c>
      <c r="C22" s="40" t="s">
        <v>1</v>
      </c>
    </row>
    <row r="23" spans="1:3" ht="17.25" x14ac:dyDescent="0.25">
      <c r="A23" s="39">
        <v>43134</v>
      </c>
      <c r="B23" s="31" t="s">
        <v>4</v>
      </c>
      <c r="C23" s="40" t="s">
        <v>21</v>
      </c>
    </row>
    <row r="24" spans="1:3" ht="17.25" x14ac:dyDescent="0.25">
      <c r="A24" s="43">
        <v>43141</v>
      </c>
      <c r="B24" s="13" t="s">
        <v>0</v>
      </c>
      <c r="C24" s="40" t="s">
        <v>2</v>
      </c>
    </row>
    <row r="25" spans="1:3" ht="17.25" x14ac:dyDescent="0.25">
      <c r="A25" s="41">
        <v>43148</v>
      </c>
      <c r="B25" s="17" t="s">
        <v>22</v>
      </c>
      <c r="C25" s="42"/>
    </row>
    <row r="26" spans="1:3" ht="17.25" x14ac:dyDescent="0.25">
      <c r="A26" s="43">
        <v>43155</v>
      </c>
      <c r="B26" s="31" t="s">
        <v>5</v>
      </c>
      <c r="C26" s="40" t="s">
        <v>21</v>
      </c>
    </row>
    <row r="27" spans="1:3" ht="17.25" x14ac:dyDescent="0.25">
      <c r="A27" s="39">
        <v>43162</v>
      </c>
      <c r="B27" s="31" t="s">
        <v>7</v>
      </c>
      <c r="C27" s="40" t="s">
        <v>0</v>
      </c>
    </row>
    <row r="28" spans="1:3" ht="17.25" x14ac:dyDescent="0.25">
      <c r="A28" s="39">
        <v>43169</v>
      </c>
      <c r="B28" s="31" t="s">
        <v>4</v>
      </c>
      <c r="C28" s="40" t="s">
        <v>1</v>
      </c>
    </row>
    <row r="29" spans="1:3" ht="17.25" x14ac:dyDescent="0.25">
      <c r="A29" s="39">
        <v>43176</v>
      </c>
      <c r="B29" s="31" t="s">
        <v>1</v>
      </c>
      <c r="C29" s="40" t="s">
        <v>5</v>
      </c>
    </row>
    <row r="30" spans="1:3" ht="17.25" x14ac:dyDescent="0.25">
      <c r="A30" s="39">
        <v>43183</v>
      </c>
      <c r="B30" s="31" t="s">
        <v>2</v>
      </c>
      <c r="C30" s="40" t="s">
        <v>21</v>
      </c>
    </row>
    <row r="31" spans="1:3" ht="17.25" x14ac:dyDescent="0.25">
      <c r="A31" s="41">
        <v>43190</v>
      </c>
      <c r="B31" s="17" t="s">
        <v>22</v>
      </c>
      <c r="C31" s="42"/>
    </row>
    <row r="32" spans="1:3" ht="17.25" x14ac:dyDescent="0.25">
      <c r="A32" s="41">
        <v>43197</v>
      </c>
      <c r="B32" s="17" t="s">
        <v>22</v>
      </c>
      <c r="C32" s="42"/>
    </row>
    <row r="33" spans="1:4" ht="17.25" x14ac:dyDescent="0.25">
      <c r="A33" s="43">
        <v>43204</v>
      </c>
      <c r="B33" s="13" t="s">
        <v>5</v>
      </c>
      <c r="C33" s="44" t="s">
        <v>7</v>
      </c>
    </row>
    <row r="34" spans="1:4" ht="17.25" x14ac:dyDescent="0.25">
      <c r="A34" s="39">
        <v>43211</v>
      </c>
      <c r="B34" s="31" t="s">
        <v>4</v>
      </c>
      <c r="C34" s="40" t="s">
        <v>21</v>
      </c>
    </row>
    <row r="35" spans="1:4" ht="17.25" x14ac:dyDescent="0.25">
      <c r="A35" s="39">
        <v>43218</v>
      </c>
      <c r="B35" s="31" t="s">
        <v>1</v>
      </c>
      <c r="C35" s="40" t="s">
        <v>7</v>
      </c>
    </row>
    <row r="36" spans="1:4" ht="17.25" x14ac:dyDescent="0.25">
      <c r="A36" s="39">
        <v>43225</v>
      </c>
      <c r="B36" s="31" t="s">
        <v>2</v>
      </c>
      <c r="C36" s="40" t="s">
        <v>21</v>
      </c>
    </row>
    <row r="37" spans="1:4" ht="17.25" x14ac:dyDescent="0.25">
      <c r="A37" s="39">
        <v>43232</v>
      </c>
      <c r="B37" s="31" t="s">
        <v>0</v>
      </c>
      <c r="C37" s="40" t="s">
        <v>4</v>
      </c>
    </row>
    <row r="38" spans="1:4" ht="17.25" x14ac:dyDescent="0.25">
      <c r="A38" s="39">
        <v>43239</v>
      </c>
      <c r="B38" s="31" t="s">
        <v>7</v>
      </c>
      <c r="C38" s="40" t="s">
        <v>21</v>
      </c>
    </row>
    <row r="39" spans="1:4" ht="17.25" x14ac:dyDescent="0.25">
      <c r="A39" s="39">
        <v>43246</v>
      </c>
      <c r="B39" s="31" t="s">
        <v>32</v>
      </c>
      <c r="C39" s="40" t="s">
        <v>33</v>
      </c>
      <c r="D39" t="s">
        <v>34</v>
      </c>
    </row>
    <row r="40" spans="1:4" ht="17.25" x14ac:dyDescent="0.25">
      <c r="A40" s="39">
        <v>43253</v>
      </c>
      <c r="B40" s="31" t="s">
        <v>35</v>
      </c>
      <c r="C40" s="40" t="s">
        <v>36</v>
      </c>
      <c r="D40" t="s">
        <v>37</v>
      </c>
    </row>
    <row r="41" spans="1:4" ht="17.25" x14ac:dyDescent="0.25">
      <c r="A41" s="39">
        <v>43260</v>
      </c>
      <c r="B41" s="31" t="s">
        <v>21</v>
      </c>
      <c r="C41" s="40" t="s">
        <v>4</v>
      </c>
    </row>
    <row r="42" spans="1:4" ht="17.25" x14ac:dyDescent="0.25">
      <c r="A42" s="39">
        <v>43267</v>
      </c>
      <c r="B42" s="31" t="s">
        <v>24</v>
      </c>
      <c r="C42" s="40" t="s">
        <v>24</v>
      </c>
    </row>
    <row r="43" spans="1:4" ht="17.25" x14ac:dyDescent="0.25">
      <c r="A43" s="39">
        <v>43274</v>
      </c>
      <c r="B43" s="31" t="s">
        <v>24</v>
      </c>
      <c r="C43" s="40" t="s">
        <v>24</v>
      </c>
    </row>
    <row r="44" spans="1:4" ht="18" thickBot="1" x14ac:dyDescent="0.3">
      <c r="A44" s="45">
        <v>43281</v>
      </c>
      <c r="B44" s="46" t="s">
        <v>22</v>
      </c>
      <c r="C44" s="47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45"/>
  <sheetViews>
    <sheetView workbookViewId="0">
      <selection activeCell="J19" sqref="J19"/>
    </sheetView>
  </sheetViews>
  <sheetFormatPr baseColWidth="10" defaultColWidth="11.42578125" defaultRowHeight="15" x14ac:dyDescent="0.25"/>
  <cols>
    <col min="1" max="1" width="5.7109375" style="51" customWidth="1"/>
    <col min="2" max="2" width="11.42578125" style="50"/>
    <col min="3" max="4" width="11.42578125" style="51"/>
    <col min="5" max="5" width="12.28515625" style="51" bestFit="1" customWidth="1"/>
    <col min="6" max="6" width="30.42578125" style="51" bestFit="1" customWidth="1"/>
    <col min="7" max="16384" width="11.42578125" style="51"/>
  </cols>
  <sheetData>
    <row r="1" spans="2:6" s="49" customFormat="1" x14ac:dyDescent="0.25">
      <c r="B1" s="48" t="s">
        <v>38</v>
      </c>
      <c r="D1" s="49" t="s">
        <v>39</v>
      </c>
      <c r="E1" s="49" t="s">
        <v>40</v>
      </c>
      <c r="F1" s="49" t="s">
        <v>41</v>
      </c>
    </row>
    <row r="2" spans="2:6" x14ac:dyDescent="0.25">
      <c r="B2" s="50">
        <v>42616</v>
      </c>
      <c r="C2" s="51" t="s">
        <v>42</v>
      </c>
      <c r="D2" s="51" t="s">
        <v>0</v>
      </c>
    </row>
    <row r="3" spans="2:6" x14ac:dyDescent="0.25">
      <c r="B3" s="50">
        <v>42623</v>
      </c>
      <c r="C3" s="51" t="s">
        <v>42</v>
      </c>
      <c r="D3" s="51" t="s">
        <v>0</v>
      </c>
      <c r="F3" s="51" t="s">
        <v>43</v>
      </c>
    </row>
    <row r="4" spans="2:6" x14ac:dyDescent="0.25">
      <c r="B4" s="50">
        <v>42630</v>
      </c>
      <c r="C4" s="51" t="s">
        <v>42</v>
      </c>
      <c r="D4" s="51" t="s">
        <v>2</v>
      </c>
    </row>
    <row r="5" spans="2:6" ht="30" x14ac:dyDescent="0.25">
      <c r="B5" s="50">
        <v>42637</v>
      </c>
      <c r="C5" s="51" t="s">
        <v>42</v>
      </c>
      <c r="D5" s="51" t="s">
        <v>2</v>
      </c>
      <c r="F5" s="52" t="s">
        <v>44</v>
      </c>
    </row>
    <row r="6" spans="2:6" x14ac:dyDescent="0.25">
      <c r="B6" s="50">
        <v>42644</v>
      </c>
      <c r="C6" s="51" t="s">
        <v>42</v>
      </c>
      <c r="D6" s="51" t="s">
        <v>4</v>
      </c>
      <c r="E6" s="51" t="s">
        <v>45</v>
      </c>
    </row>
    <row r="7" spans="2:6" x14ac:dyDescent="0.25">
      <c r="B7" s="50">
        <v>42651</v>
      </c>
      <c r="C7" s="51" t="s">
        <v>42</v>
      </c>
      <c r="D7" s="51" t="s">
        <v>3</v>
      </c>
    </row>
    <row r="8" spans="2:6" x14ac:dyDescent="0.25">
      <c r="B8" s="50">
        <v>42658</v>
      </c>
      <c r="C8" s="51" t="s">
        <v>42</v>
      </c>
      <c r="D8" s="51" t="s">
        <v>46</v>
      </c>
    </row>
    <row r="9" spans="2:6" x14ac:dyDescent="0.25">
      <c r="B9" s="50">
        <v>42665</v>
      </c>
      <c r="C9" s="51" t="s">
        <v>2</v>
      </c>
      <c r="D9" s="51" t="s">
        <v>46</v>
      </c>
    </row>
    <row r="10" spans="2:6" x14ac:dyDescent="0.25">
      <c r="B10" s="53">
        <v>42672</v>
      </c>
      <c r="C10" s="54"/>
      <c r="D10" s="54"/>
    </row>
    <row r="11" spans="2:6" x14ac:dyDescent="0.25">
      <c r="B11" s="50">
        <v>42679</v>
      </c>
      <c r="C11" s="51" t="s">
        <v>42</v>
      </c>
      <c r="D11" s="51" t="s">
        <v>5</v>
      </c>
    </row>
    <row r="12" spans="2:6" x14ac:dyDescent="0.25">
      <c r="B12" s="50">
        <v>42686</v>
      </c>
      <c r="C12" s="51" t="s">
        <v>42</v>
      </c>
      <c r="D12" s="51" t="s">
        <v>3</v>
      </c>
      <c r="E12" s="51" t="s">
        <v>45</v>
      </c>
    </row>
    <row r="13" spans="2:6" x14ac:dyDescent="0.25">
      <c r="B13" s="50">
        <v>42693</v>
      </c>
      <c r="C13" s="51" t="s">
        <v>42</v>
      </c>
      <c r="D13" s="51" t="s">
        <v>46</v>
      </c>
    </row>
    <row r="14" spans="2:6" x14ac:dyDescent="0.25">
      <c r="B14" s="50">
        <v>42700</v>
      </c>
      <c r="C14" s="51" t="s">
        <v>7</v>
      </c>
      <c r="D14" s="51" t="s">
        <v>1</v>
      </c>
    </row>
    <row r="15" spans="2:6" x14ac:dyDescent="0.25">
      <c r="B15" s="50">
        <v>42707</v>
      </c>
      <c r="C15" s="51" t="s">
        <v>46</v>
      </c>
      <c r="D15" s="51" t="s">
        <v>4</v>
      </c>
    </row>
    <row r="16" spans="2:6" x14ac:dyDescent="0.25">
      <c r="B16" s="50">
        <v>42714</v>
      </c>
      <c r="C16" s="51" t="s">
        <v>46</v>
      </c>
      <c r="D16" s="51" t="s">
        <v>5</v>
      </c>
    </row>
    <row r="17" spans="1:6" x14ac:dyDescent="0.25">
      <c r="B17" s="50">
        <v>42721</v>
      </c>
      <c r="C17" s="51" t="s">
        <v>42</v>
      </c>
      <c r="D17" s="51" t="s">
        <v>2</v>
      </c>
      <c r="E17" s="51" t="s">
        <v>45</v>
      </c>
    </row>
    <row r="18" spans="1:6" x14ac:dyDescent="0.25">
      <c r="B18" s="53">
        <v>42728</v>
      </c>
      <c r="C18" s="54"/>
      <c r="D18" s="54"/>
    </row>
    <row r="19" spans="1:6" x14ac:dyDescent="0.25">
      <c r="B19" s="53">
        <v>42735</v>
      </c>
      <c r="C19" s="54"/>
      <c r="D19" s="54"/>
    </row>
    <row r="20" spans="1:6" x14ac:dyDescent="0.25">
      <c r="A20" s="51">
        <v>1</v>
      </c>
      <c r="B20" s="53">
        <v>42742</v>
      </c>
      <c r="C20" s="54"/>
      <c r="D20" s="54"/>
    </row>
    <row r="21" spans="1:6" x14ac:dyDescent="0.25">
      <c r="A21" s="51">
        <v>2</v>
      </c>
      <c r="B21" s="50">
        <v>42749</v>
      </c>
      <c r="C21" s="51" t="s">
        <v>42</v>
      </c>
      <c r="D21" s="51" t="s">
        <v>4</v>
      </c>
    </row>
    <row r="22" spans="1:6" x14ac:dyDescent="0.25">
      <c r="A22" s="51">
        <v>3</v>
      </c>
      <c r="B22" s="50">
        <v>42756</v>
      </c>
      <c r="C22" s="51" t="s">
        <v>42</v>
      </c>
      <c r="D22" s="51" t="s">
        <v>5</v>
      </c>
      <c r="E22" s="51" t="s">
        <v>45</v>
      </c>
    </row>
    <row r="23" spans="1:6" x14ac:dyDescent="0.25">
      <c r="A23" s="51">
        <v>4</v>
      </c>
      <c r="B23" s="50">
        <v>42763</v>
      </c>
      <c r="C23" s="51" t="s">
        <v>7</v>
      </c>
      <c r="D23" s="51" t="s">
        <v>1</v>
      </c>
    </row>
    <row r="24" spans="1:6" x14ac:dyDescent="0.25">
      <c r="A24" s="51">
        <v>5</v>
      </c>
      <c r="B24" s="50">
        <v>42770</v>
      </c>
      <c r="C24" s="51" t="s">
        <v>7</v>
      </c>
      <c r="D24" s="51" t="s">
        <v>2</v>
      </c>
    </row>
    <row r="25" spans="1:6" x14ac:dyDescent="0.25">
      <c r="A25" s="51">
        <v>6</v>
      </c>
      <c r="B25" s="50">
        <v>42777</v>
      </c>
      <c r="C25" s="51" t="s">
        <v>42</v>
      </c>
      <c r="D25" s="51" t="s">
        <v>2</v>
      </c>
    </row>
    <row r="26" spans="1:6" x14ac:dyDescent="0.25">
      <c r="A26" s="51">
        <v>7</v>
      </c>
      <c r="B26" s="53">
        <v>42784</v>
      </c>
      <c r="C26" s="54"/>
      <c r="D26" s="54"/>
    </row>
    <row r="27" spans="1:6" x14ac:dyDescent="0.25">
      <c r="A27" s="51">
        <v>8</v>
      </c>
      <c r="B27" s="50">
        <v>42791</v>
      </c>
      <c r="C27" s="51" t="s">
        <v>42</v>
      </c>
      <c r="D27" s="55" t="s">
        <v>5</v>
      </c>
      <c r="F27" s="51" t="s">
        <v>47</v>
      </c>
    </row>
    <row r="28" spans="1:6" x14ac:dyDescent="0.25">
      <c r="A28" s="51">
        <v>9</v>
      </c>
      <c r="B28" s="50">
        <v>42798</v>
      </c>
      <c r="C28" s="51" t="s">
        <v>42</v>
      </c>
      <c r="D28" s="51" t="s">
        <v>4</v>
      </c>
      <c r="E28" s="51" t="s">
        <v>45</v>
      </c>
    </row>
    <row r="29" spans="1:6" x14ac:dyDescent="0.25">
      <c r="A29" s="51">
        <v>10</v>
      </c>
      <c r="B29" s="50">
        <v>42805</v>
      </c>
      <c r="C29" s="51" t="s">
        <v>42</v>
      </c>
      <c r="D29" s="51" t="s">
        <v>1</v>
      </c>
    </row>
    <row r="30" spans="1:6" x14ac:dyDescent="0.25">
      <c r="A30" s="51">
        <v>11</v>
      </c>
      <c r="B30" s="50">
        <v>42812</v>
      </c>
      <c r="C30" s="51" t="s">
        <v>42</v>
      </c>
      <c r="D30" s="51" t="s">
        <v>46</v>
      </c>
      <c r="F30" s="51" t="s">
        <v>48</v>
      </c>
    </row>
    <row r="31" spans="1:6" x14ac:dyDescent="0.25">
      <c r="A31" s="51">
        <v>12</v>
      </c>
      <c r="B31" s="50">
        <v>42819</v>
      </c>
      <c r="C31" s="51" t="s">
        <v>42</v>
      </c>
      <c r="D31" s="51" t="s">
        <v>46</v>
      </c>
    </row>
    <row r="32" spans="1:6" x14ac:dyDescent="0.25">
      <c r="A32" s="51">
        <v>13</v>
      </c>
      <c r="B32" s="50">
        <v>42826</v>
      </c>
      <c r="C32" s="51" t="s">
        <v>42</v>
      </c>
      <c r="D32" s="51" t="s">
        <v>2</v>
      </c>
      <c r="E32" s="51" t="s">
        <v>45</v>
      </c>
    </row>
    <row r="33" spans="1:6" x14ac:dyDescent="0.25">
      <c r="A33" s="51">
        <v>14</v>
      </c>
      <c r="B33" s="50">
        <v>42833</v>
      </c>
      <c r="C33" s="51" t="s">
        <v>42</v>
      </c>
      <c r="D33" s="51" t="s">
        <v>0</v>
      </c>
    </row>
    <row r="34" spans="1:6" x14ac:dyDescent="0.25">
      <c r="A34" s="51">
        <v>15</v>
      </c>
      <c r="B34" s="53">
        <v>42840</v>
      </c>
      <c r="C34" s="54"/>
      <c r="D34" s="54"/>
    </row>
    <row r="35" spans="1:6" x14ac:dyDescent="0.25">
      <c r="A35" s="51">
        <v>16</v>
      </c>
      <c r="B35" s="53">
        <v>42847</v>
      </c>
      <c r="C35" s="54"/>
      <c r="D35" s="54"/>
    </row>
    <row r="36" spans="1:6" x14ac:dyDescent="0.25">
      <c r="A36" s="51">
        <v>17</v>
      </c>
      <c r="B36" s="50">
        <v>42854</v>
      </c>
      <c r="C36" s="51" t="s">
        <v>0</v>
      </c>
      <c r="D36" s="51" t="s">
        <v>4</v>
      </c>
    </row>
    <row r="37" spans="1:6" x14ac:dyDescent="0.25">
      <c r="A37" s="51">
        <v>18</v>
      </c>
      <c r="B37" s="50">
        <v>42861</v>
      </c>
      <c r="C37" s="51" t="s">
        <v>30</v>
      </c>
      <c r="D37" s="51" t="s">
        <v>1</v>
      </c>
    </row>
    <row r="38" spans="1:6" x14ac:dyDescent="0.25">
      <c r="A38" s="51">
        <v>19</v>
      </c>
      <c r="B38" s="50">
        <v>42868</v>
      </c>
      <c r="C38" s="51" t="s">
        <v>30</v>
      </c>
      <c r="D38" s="51" t="s">
        <v>2</v>
      </c>
      <c r="E38" s="51" t="s">
        <v>45</v>
      </c>
      <c r="F38" s="51" t="s">
        <v>49</v>
      </c>
    </row>
    <row r="39" spans="1:6" x14ac:dyDescent="0.25">
      <c r="A39" s="51">
        <v>20</v>
      </c>
      <c r="B39" s="50">
        <v>42875</v>
      </c>
      <c r="C39" s="51" t="s">
        <v>4</v>
      </c>
      <c r="D39" s="51" t="s">
        <v>5</v>
      </c>
      <c r="F39" s="51" t="s">
        <v>49</v>
      </c>
    </row>
    <row r="40" spans="1:6" x14ac:dyDescent="0.25">
      <c r="A40" s="51">
        <v>21</v>
      </c>
      <c r="B40" s="50">
        <v>42882</v>
      </c>
      <c r="C40" s="51" t="s">
        <v>7</v>
      </c>
      <c r="D40" s="51" t="s">
        <v>2</v>
      </c>
      <c r="F40" s="51" t="s">
        <v>49</v>
      </c>
    </row>
    <row r="41" spans="1:6" x14ac:dyDescent="0.25">
      <c r="A41" s="51">
        <v>22</v>
      </c>
      <c r="B41" s="50">
        <v>42889</v>
      </c>
      <c r="F41" s="51" t="s">
        <v>50</v>
      </c>
    </row>
    <row r="42" spans="1:6" x14ac:dyDescent="0.25">
      <c r="A42" s="51">
        <v>23</v>
      </c>
      <c r="B42" s="50">
        <v>42896</v>
      </c>
      <c r="C42" s="51" t="s">
        <v>42</v>
      </c>
      <c r="D42" s="51" t="s">
        <v>4</v>
      </c>
      <c r="F42" s="51" t="s">
        <v>49</v>
      </c>
    </row>
    <row r="43" spans="1:6" x14ac:dyDescent="0.25">
      <c r="A43" s="51">
        <v>24</v>
      </c>
      <c r="B43" s="50">
        <v>42903</v>
      </c>
      <c r="C43" s="51" t="s">
        <v>42</v>
      </c>
      <c r="D43" s="51" t="s">
        <v>5</v>
      </c>
      <c r="F43" s="51" t="s">
        <v>49</v>
      </c>
    </row>
    <row r="44" spans="1:6" x14ac:dyDescent="0.25">
      <c r="A44" s="51">
        <v>25</v>
      </c>
      <c r="B44" s="50">
        <v>42910</v>
      </c>
      <c r="C44" s="51" t="s">
        <v>42</v>
      </c>
      <c r="D44" s="51" t="s">
        <v>0</v>
      </c>
      <c r="F44" s="51" t="s">
        <v>49</v>
      </c>
    </row>
    <row r="45" spans="1:6" x14ac:dyDescent="0.25">
      <c r="A45" s="51">
        <v>26</v>
      </c>
      <c r="B45" s="50">
        <v>42917</v>
      </c>
      <c r="F45" s="51" t="s">
        <v>51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81"/>
  <sheetViews>
    <sheetView workbookViewId="0">
      <selection activeCell="G11" sqref="G11"/>
    </sheetView>
  </sheetViews>
  <sheetFormatPr baseColWidth="10" defaultRowHeight="15" x14ac:dyDescent="0.25"/>
  <cols>
    <col min="1" max="1" width="25.7109375" bestFit="1" customWidth="1"/>
  </cols>
  <sheetData>
    <row r="1" spans="1:8" x14ac:dyDescent="0.25">
      <c r="A1" s="56" t="s">
        <v>52</v>
      </c>
      <c r="C1" t="s">
        <v>53</v>
      </c>
      <c r="F1" t="s">
        <v>54</v>
      </c>
    </row>
    <row r="2" spans="1:8" x14ac:dyDescent="0.25">
      <c r="A2" s="56"/>
    </row>
    <row r="3" spans="1:8" x14ac:dyDescent="0.25">
      <c r="A3" s="56">
        <v>41013</v>
      </c>
      <c r="C3" t="s">
        <v>42</v>
      </c>
      <c r="F3" t="s">
        <v>5</v>
      </c>
    </row>
    <row r="4" spans="1:8" x14ac:dyDescent="0.25">
      <c r="A4" s="56"/>
      <c r="C4" t="s">
        <v>5</v>
      </c>
      <c r="F4" t="s">
        <v>55</v>
      </c>
    </row>
    <row r="5" spans="1:8" x14ac:dyDescent="0.25">
      <c r="A5" s="56"/>
    </row>
    <row r="6" spans="1:8" x14ac:dyDescent="0.25">
      <c r="A6" s="56"/>
    </row>
    <row r="7" spans="1:8" x14ac:dyDescent="0.25">
      <c r="A7" s="56">
        <v>41020</v>
      </c>
      <c r="C7" t="s">
        <v>42</v>
      </c>
      <c r="F7" t="s">
        <v>2</v>
      </c>
    </row>
    <row r="8" spans="1:8" x14ac:dyDescent="0.25">
      <c r="A8" s="56"/>
      <c r="C8" t="s">
        <v>2</v>
      </c>
      <c r="F8" t="s">
        <v>4</v>
      </c>
    </row>
    <row r="9" spans="1:8" x14ac:dyDescent="0.25">
      <c r="A9" s="56"/>
    </row>
    <row r="10" spans="1:8" x14ac:dyDescent="0.25">
      <c r="A10" s="56"/>
    </row>
    <row r="11" spans="1:8" x14ac:dyDescent="0.25">
      <c r="A11" s="56">
        <v>41027</v>
      </c>
      <c r="C11" t="s">
        <v>42</v>
      </c>
      <c r="F11" t="s">
        <v>56</v>
      </c>
    </row>
    <row r="12" spans="1:8" x14ac:dyDescent="0.25">
      <c r="A12" s="56"/>
      <c r="C12" t="s">
        <v>55</v>
      </c>
      <c r="F12" t="s">
        <v>55</v>
      </c>
    </row>
    <row r="13" spans="1:8" x14ac:dyDescent="0.25">
      <c r="A13" s="56"/>
    </row>
    <row r="14" spans="1:8" x14ac:dyDescent="0.25">
      <c r="A14" s="56"/>
    </row>
    <row r="15" spans="1:8" x14ac:dyDescent="0.25">
      <c r="A15" s="56">
        <v>41034</v>
      </c>
      <c r="C15" t="s">
        <v>42</v>
      </c>
      <c r="F15" t="s">
        <v>5</v>
      </c>
      <c r="H15" t="s">
        <v>57</v>
      </c>
    </row>
    <row r="16" spans="1:8" x14ac:dyDescent="0.25">
      <c r="A16" s="56"/>
      <c r="C16" t="s">
        <v>4</v>
      </c>
      <c r="F16" t="s">
        <v>1</v>
      </c>
    </row>
    <row r="17" spans="1:6" x14ac:dyDescent="0.25">
      <c r="A17" s="56"/>
    </row>
    <row r="18" spans="1:6" x14ac:dyDescent="0.25">
      <c r="A18" s="56"/>
    </row>
    <row r="19" spans="1:6" x14ac:dyDescent="0.25">
      <c r="A19" s="56">
        <v>41041</v>
      </c>
      <c r="C19" t="s">
        <v>42</v>
      </c>
      <c r="F19" t="s">
        <v>56</v>
      </c>
    </row>
    <row r="20" spans="1:6" x14ac:dyDescent="0.25">
      <c r="A20" s="57" t="s">
        <v>58</v>
      </c>
      <c r="C20" t="s">
        <v>1</v>
      </c>
      <c r="F20" t="s">
        <v>1</v>
      </c>
    </row>
    <row r="21" spans="1:6" x14ac:dyDescent="0.25">
      <c r="A21" s="56"/>
    </row>
    <row r="22" spans="1:6" x14ac:dyDescent="0.25">
      <c r="A22" s="56"/>
    </row>
    <row r="23" spans="1:6" x14ac:dyDescent="0.25">
      <c r="A23" s="56">
        <v>41048</v>
      </c>
      <c r="C23" t="s">
        <v>59</v>
      </c>
      <c r="F23" t="s">
        <v>59</v>
      </c>
    </row>
    <row r="24" spans="1:6" x14ac:dyDescent="0.25">
      <c r="A24" s="56"/>
      <c r="C24" t="s">
        <v>2</v>
      </c>
      <c r="F24" t="s">
        <v>2</v>
      </c>
    </row>
    <row r="25" spans="1:6" x14ac:dyDescent="0.25">
      <c r="A25" s="56"/>
    </row>
    <row r="26" spans="1:6" x14ac:dyDescent="0.25">
      <c r="A26" s="56"/>
    </row>
    <row r="27" spans="1:6" x14ac:dyDescent="0.25">
      <c r="A27" s="56">
        <v>41055</v>
      </c>
      <c r="C27" t="s">
        <v>4</v>
      </c>
      <c r="F27" t="s">
        <v>55</v>
      </c>
    </row>
    <row r="28" spans="1:6" x14ac:dyDescent="0.25">
      <c r="A28" s="56"/>
      <c r="C28" t="s">
        <v>55</v>
      </c>
      <c r="F28" t="s">
        <v>4</v>
      </c>
    </row>
    <row r="29" spans="1:6" x14ac:dyDescent="0.25">
      <c r="A29" s="56"/>
    </row>
    <row r="30" spans="1:6" x14ac:dyDescent="0.25">
      <c r="A30" s="56"/>
    </row>
    <row r="31" spans="1:6" x14ac:dyDescent="0.25">
      <c r="A31" s="56">
        <v>41062</v>
      </c>
      <c r="C31" t="s">
        <v>59</v>
      </c>
      <c r="F31" t="s">
        <v>59</v>
      </c>
    </row>
    <row r="32" spans="1:6" x14ac:dyDescent="0.25">
      <c r="A32" s="56"/>
      <c r="C32" t="s">
        <v>5</v>
      </c>
      <c r="F32" t="s">
        <v>4</v>
      </c>
    </row>
    <row r="33" spans="1:10" x14ac:dyDescent="0.25">
      <c r="A33" s="56"/>
    </row>
    <row r="34" spans="1:10" x14ac:dyDescent="0.25">
      <c r="A34" s="56"/>
    </row>
    <row r="35" spans="1:10" x14ac:dyDescent="0.25">
      <c r="A35" s="56">
        <v>41069</v>
      </c>
      <c r="C35" t="s">
        <v>42</v>
      </c>
      <c r="F35" t="s">
        <v>56</v>
      </c>
    </row>
    <row r="36" spans="1:10" x14ac:dyDescent="0.25">
      <c r="A36" s="56"/>
      <c r="C36" t="s">
        <v>2</v>
      </c>
      <c r="F36" t="s">
        <v>2</v>
      </c>
    </row>
    <row r="37" spans="1:10" x14ac:dyDescent="0.25">
      <c r="A37" s="56"/>
    </row>
    <row r="38" spans="1:10" x14ac:dyDescent="0.25">
      <c r="A38" s="56"/>
    </row>
    <row r="39" spans="1:10" x14ac:dyDescent="0.25">
      <c r="A39" s="56">
        <v>41076</v>
      </c>
      <c r="C39" t="s">
        <v>42</v>
      </c>
      <c r="F39" t="s">
        <v>55</v>
      </c>
    </row>
    <row r="40" spans="1:10" x14ac:dyDescent="0.25">
      <c r="A40" s="56"/>
      <c r="C40" t="s">
        <v>55</v>
      </c>
      <c r="F40" t="s">
        <v>5</v>
      </c>
    </row>
    <row r="41" spans="1:10" x14ac:dyDescent="0.25">
      <c r="A41" s="56"/>
    </row>
    <row r="42" spans="1:10" x14ac:dyDescent="0.25">
      <c r="A42" s="56">
        <v>41083</v>
      </c>
      <c r="C42" t="s">
        <v>42</v>
      </c>
      <c r="F42" t="s">
        <v>4</v>
      </c>
    </row>
    <row r="43" spans="1:10" x14ac:dyDescent="0.25">
      <c r="A43" s="56"/>
      <c r="C43" t="s">
        <v>60</v>
      </c>
      <c r="F43" t="s">
        <v>56</v>
      </c>
    </row>
    <row r="44" spans="1:10" x14ac:dyDescent="0.25">
      <c r="A44" s="56"/>
    </row>
    <row r="45" spans="1:10" x14ac:dyDescent="0.25">
      <c r="A45" s="58" t="s">
        <v>61</v>
      </c>
    </row>
    <row r="46" spans="1:10" x14ac:dyDescent="0.25">
      <c r="A46" s="58"/>
      <c r="J46" t="s">
        <v>62</v>
      </c>
    </row>
    <row r="47" spans="1:10" x14ac:dyDescent="0.25">
      <c r="A47" s="58" t="s">
        <v>11</v>
      </c>
      <c r="B47" t="s">
        <v>63</v>
      </c>
      <c r="E47" t="s">
        <v>54</v>
      </c>
    </row>
    <row r="48" spans="1:10" x14ac:dyDescent="0.25">
      <c r="A48" s="58"/>
    </row>
    <row r="49" spans="1:14" x14ac:dyDescent="0.25">
      <c r="A49" s="58" t="s">
        <v>64</v>
      </c>
      <c r="B49" t="s">
        <v>65</v>
      </c>
      <c r="C49" t="s">
        <v>55</v>
      </c>
      <c r="E49" t="s">
        <v>65</v>
      </c>
      <c r="F49" t="s">
        <v>55</v>
      </c>
      <c r="I49">
        <v>1</v>
      </c>
      <c r="J49" t="s">
        <v>42</v>
      </c>
      <c r="K49" t="s">
        <v>55</v>
      </c>
      <c r="M49" t="s">
        <v>55</v>
      </c>
      <c r="N49" t="s">
        <v>42</v>
      </c>
    </row>
    <row r="50" spans="1:14" x14ac:dyDescent="0.25">
      <c r="A50" s="58"/>
    </row>
    <row r="51" spans="1:14" x14ac:dyDescent="0.25">
      <c r="A51" s="58" t="s">
        <v>66</v>
      </c>
      <c r="B51" t="s">
        <v>42</v>
      </c>
      <c r="C51" t="s">
        <v>5</v>
      </c>
      <c r="E51" t="s">
        <v>67</v>
      </c>
      <c r="F51" t="s">
        <v>5</v>
      </c>
      <c r="I51">
        <v>2</v>
      </c>
      <c r="J51" t="s">
        <v>42</v>
      </c>
      <c r="K51" t="s">
        <v>5</v>
      </c>
      <c r="M51" t="s">
        <v>67</v>
      </c>
      <c r="N51" t="s">
        <v>5</v>
      </c>
    </row>
    <row r="52" spans="1:14" x14ac:dyDescent="0.25">
      <c r="A52" s="58"/>
    </row>
    <row r="53" spans="1:14" x14ac:dyDescent="0.25">
      <c r="A53" s="58" t="s">
        <v>68</v>
      </c>
      <c r="B53" t="s">
        <v>42</v>
      </c>
      <c r="C53" t="s">
        <v>4</v>
      </c>
      <c r="E53" t="s">
        <v>69</v>
      </c>
      <c r="F53" t="s">
        <v>4</v>
      </c>
      <c r="I53">
        <v>3</v>
      </c>
      <c r="J53" t="s">
        <v>42</v>
      </c>
      <c r="K53" t="s">
        <v>4</v>
      </c>
      <c r="M53" t="s">
        <v>4</v>
      </c>
      <c r="N53" t="s">
        <v>2</v>
      </c>
    </row>
    <row r="54" spans="1:14" x14ac:dyDescent="0.25">
      <c r="A54" s="58"/>
    </row>
    <row r="55" spans="1:14" x14ac:dyDescent="0.25">
      <c r="A55" s="58" t="s">
        <v>70</v>
      </c>
      <c r="B55" t="s">
        <v>42</v>
      </c>
      <c r="C55" t="s">
        <v>5</v>
      </c>
      <c r="E55" t="s">
        <v>42</v>
      </c>
      <c r="F55" t="s">
        <v>5</v>
      </c>
      <c r="I55">
        <v>4</v>
      </c>
      <c r="J55" t="s">
        <v>1</v>
      </c>
      <c r="K55" t="s">
        <v>55</v>
      </c>
      <c r="M55" t="s">
        <v>55</v>
      </c>
      <c r="N55" t="s">
        <v>1</v>
      </c>
    </row>
    <row r="56" spans="1:14" x14ac:dyDescent="0.25">
      <c r="A56" s="58"/>
    </row>
    <row r="57" spans="1:14" x14ac:dyDescent="0.25">
      <c r="A57" s="58" t="s">
        <v>71</v>
      </c>
      <c r="B57" t="s">
        <v>42</v>
      </c>
      <c r="C57" t="s">
        <v>55</v>
      </c>
      <c r="E57" t="s">
        <v>55</v>
      </c>
      <c r="F57" t="s">
        <v>65</v>
      </c>
      <c r="G57" t="s">
        <v>72</v>
      </c>
      <c r="I57">
        <v>5</v>
      </c>
      <c r="J57" t="s">
        <v>42</v>
      </c>
      <c r="M57" t="s">
        <v>5</v>
      </c>
      <c r="N57" t="s">
        <v>56</v>
      </c>
    </row>
    <row r="58" spans="1:14" x14ac:dyDescent="0.25">
      <c r="A58" s="58"/>
    </row>
    <row r="59" spans="1:14" x14ac:dyDescent="0.25">
      <c r="A59" s="58" t="s">
        <v>73</v>
      </c>
      <c r="B59" t="s">
        <v>42</v>
      </c>
      <c r="C59" t="s">
        <v>69</v>
      </c>
      <c r="E59" t="s">
        <v>69</v>
      </c>
      <c r="F59" t="s">
        <v>4</v>
      </c>
      <c r="I59">
        <v>6</v>
      </c>
      <c r="J59" t="s">
        <v>42</v>
      </c>
      <c r="K59" t="s">
        <v>2</v>
      </c>
      <c r="M59" t="s">
        <v>2</v>
      </c>
      <c r="N59" t="s">
        <v>4</v>
      </c>
    </row>
    <row r="60" spans="1:14" x14ac:dyDescent="0.25">
      <c r="A60" s="58"/>
    </row>
    <row r="61" spans="1:14" x14ac:dyDescent="0.25">
      <c r="A61" s="58" t="s">
        <v>74</v>
      </c>
      <c r="B61" t="s">
        <v>1</v>
      </c>
      <c r="C61" t="s">
        <v>55</v>
      </c>
      <c r="E61" t="s">
        <v>1</v>
      </c>
      <c r="F61" t="s">
        <v>55</v>
      </c>
    </row>
    <row r="62" spans="1:14" x14ac:dyDescent="0.25">
      <c r="A62" s="58"/>
    </row>
    <row r="63" spans="1:14" x14ac:dyDescent="0.25">
      <c r="A63" s="58" t="s">
        <v>75</v>
      </c>
      <c r="B63" t="s">
        <v>42</v>
      </c>
      <c r="C63" t="s">
        <v>5</v>
      </c>
      <c r="E63" t="s">
        <v>67</v>
      </c>
      <c r="F63" t="s">
        <v>5</v>
      </c>
    </row>
    <row r="64" spans="1:14" x14ac:dyDescent="0.25">
      <c r="A64" s="58"/>
    </row>
    <row r="65" spans="1:6" x14ac:dyDescent="0.25">
      <c r="A65" s="58" t="s">
        <v>76</v>
      </c>
      <c r="B65" t="s">
        <v>77</v>
      </c>
    </row>
    <row r="66" spans="1:6" x14ac:dyDescent="0.25">
      <c r="A66" s="58"/>
    </row>
    <row r="67" spans="1:6" x14ac:dyDescent="0.25">
      <c r="A67" s="58" t="s">
        <v>78</v>
      </c>
      <c r="B67" t="s">
        <v>1</v>
      </c>
      <c r="C67" t="s">
        <v>55</v>
      </c>
      <c r="E67" t="s">
        <v>1</v>
      </c>
      <c r="F67" t="s">
        <v>55</v>
      </c>
    </row>
    <row r="68" spans="1:6" x14ac:dyDescent="0.25">
      <c r="A68" s="58"/>
    </row>
    <row r="69" spans="1:6" x14ac:dyDescent="0.25">
      <c r="A69" s="58" t="s">
        <v>79</v>
      </c>
      <c r="B69" t="s">
        <v>42</v>
      </c>
      <c r="C69" t="s">
        <v>67</v>
      </c>
      <c r="E69" t="s">
        <v>5</v>
      </c>
      <c r="F69" t="s">
        <v>67</v>
      </c>
    </row>
    <row r="70" spans="1:6" x14ac:dyDescent="0.25">
      <c r="A70" s="58"/>
    </row>
    <row r="71" spans="1:6" x14ac:dyDescent="0.25">
      <c r="A71" s="58" t="s">
        <v>80</v>
      </c>
      <c r="B71" t="s">
        <v>42</v>
      </c>
      <c r="C71" t="s">
        <v>69</v>
      </c>
      <c r="E71" t="s">
        <v>69</v>
      </c>
      <c r="F71" t="s">
        <v>4</v>
      </c>
    </row>
    <row r="72" spans="1:6" x14ac:dyDescent="0.25">
      <c r="A72" s="58"/>
    </row>
    <row r="73" spans="1:6" x14ac:dyDescent="0.25">
      <c r="A73" s="58" t="s">
        <v>81</v>
      </c>
      <c r="B73" t="s">
        <v>42</v>
      </c>
      <c r="C73" t="s">
        <v>55</v>
      </c>
      <c r="E73" t="s">
        <v>42</v>
      </c>
      <c r="F73" t="s">
        <v>55</v>
      </c>
    </row>
    <row r="74" spans="1:6" x14ac:dyDescent="0.25">
      <c r="A74" s="58"/>
    </row>
    <row r="75" spans="1:6" x14ac:dyDescent="0.25">
      <c r="A75" s="58" t="s">
        <v>82</v>
      </c>
      <c r="B75" t="s">
        <v>42</v>
      </c>
      <c r="C75" t="s">
        <v>5</v>
      </c>
      <c r="E75" t="s">
        <v>67</v>
      </c>
      <c r="F75" t="s">
        <v>5</v>
      </c>
    </row>
    <row r="76" spans="1:6" x14ac:dyDescent="0.25">
      <c r="A76" s="58"/>
    </row>
    <row r="77" spans="1:6" x14ac:dyDescent="0.25">
      <c r="A77" s="58" t="s">
        <v>83</v>
      </c>
      <c r="B77" t="s">
        <v>42</v>
      </c>
      <c r="C77" t="s">
        <v>4</v>
      </c>
      <c r="E77" t="s">
        <v>69</v>
      </c>
      <c r="F77" t="s">
        <v>4</v>
      </c>
    </row>
    <row r="78" spans="1:6" x14ac:dyDescent="0.25">
      <c r="A78" s="58"/>
    </row>
    <row r="79" spans="1:6" x14ac:dyDescent="0.25">
      <c r="A79" s="58" t="s">
        <v>84</v>
      </c>
      <c r="B79" t="s">
        <v>42</v>
      </c>
      <c r="C79" t="s">
        <v>5</v>
      </c>
      <c r="E79" t="s">
        <v>42</v>
      </c>
      <c r="F79" t="s">
        <v>5</v>
      </c>
    </row>
    <row r="80" spans="1:6" x14ac:dyDescent="0.25">
      <c r="A80" s="58"/>
    </row>
    <row r="81" spans="1:6" x14ac:dyDescent="0.25">
      <c r="A81" s="58" t="s">
        <v>85</v>
      </c>
      <c r="B81" t="s">
        <v>42</v>
      </c>
      <c r="C81" t="s">
        <v>67</v>
      </c>
      <c r="E81" t="s">
        <v>55</v>
      </c>
      <c r="F81" t="s">
        <v>67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12</vt:i4>
      </vt:variant>
      <vt:variant>
        <vt:lpstr>Plages nommées</vt:lpstr>
      </vt:variant>
      <vt:variant>
        <vt:i4>1</vt:i4>
      </vt:variant>
    </vt:vector>
  </HeadingPairs>
  <TitlesOfParts>
    <vt:vector size="13" baseType="lpstr">
      <vt:lpstr>Samedi 25-26</vt:lpstr>
      <vt:lpstr>Samedi 24-25</vt:lpstr>
      <vt:lpstr>test</vt:lpstr>
      <vt:lpstr>Samedi 23-24</vt:lpstr>
      <vt:lpstr>Samedi 22-23</vt:lpstr>
      <vt:lpstr>Samedi 21-22</vt:lpstr>
      <vt:lpstr>Samedi 20-21</vt:lpstr>
      <vt:lpstr>Samedi 19-20</vt:lpstr>
      <vt:lpstr>Samedi 18-19</vt:lpstr>
      <vt:lpstr>Samedi 17-18</vt:lpstr>
      <vt:lpstr>Samedi 16-17</vt:lpstr>
      <vt:lpstr>Samedi 12</vt:lpstr>
      <vt:lpstr>'Samedi 21-22'!Zone_d_impression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Melanie TUDISCO</dc:creator>
  <cp:lastModifiedBy>Alessia Ditta</cp:lastModifiedBy>
  <cp:lastPrinted>2025-08-28T09:36:41Z</cp:lastPrinted>
  <dcterms:created xsi:type="dcterms:W3CDTF">2021-01-08T08:44:36Z</dcterms:created>
  <dcterms:modified xsi:type="dcterms:W3CDTF">2026-02-09T09:58:48Z</dcterms:modified>
</cp:coreProperties>
</file>